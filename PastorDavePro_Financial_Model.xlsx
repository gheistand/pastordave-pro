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Breakdown" sheetId="1" state="visible" r:id="rId1"/>
    <sheet name="Revenue Model" sheetId="2" state="visible" r:id="rId2"/>
    <sheet name="Break-Even Matrix" sheetId="3" state="visible" r:id="rId3"/>
    <sheet name="Growth Scenarios" sheetId="4" state="visible" r:id="rId4"/>
    <sheet name="Charts" sheetId="5" state="visible" r:id="rId5"/>
    <sheet name="Executi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0.0%"/>
    <numFmt numFmtId="167" formatCode="&quot;$&quot;#,##0;[RED]-&quot;$&quot;#,##0"/>
  </numFmts>
  <fonts count="2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7C4F2A"/>
      <sz val="12"/>
    </font>
    <font>
      <b val="1"/>
      <color rgb="00FFFFFF"/>
      <sz val="11"/>
    </font>
    <font>
      <color rgb="002D2D2D"/>
      <sz val="11"/>
    </font>
    <font>
      <b val="1"/>
      <color rgb="002D2D2D"/>
      <sz val="11"/>
    </font>
    <font>
      <color rgb="0022C55E"/>
      <sz val="11"/>
    </font>
    <font>
      <b val="1"/>
      <color rgb="007C4F2A"/>
      <sz val="11"/>
    </font>
    <font>
      <b val="1"/>
      <color rgb="00EF4444"/>
      <sz val="11"/>
    </font>
    <font>
      <b val="1"/>
      <color rgb="0022C55E"/>
      <sz val="11"/>
    </font>
    <font>
      <b val="1"/>
      <color rgb="00FFFFFF"/>
      <sz val="14"/>
    </font>
    <font>
      <i val="1"/>
      <color rgb="006B6B6B"/>
      <sz val="10"/>
    </font>
    <font>
      <color rgb="002D2D2D"/>
      <sz val="9"/>
    </font>
    <font>
      <b val="1"/>
      <color rgb="002D2D2D"/>
      <sz val="9"/>
    </font>
    <font>
      <color rgb="00FFFFFF"/>
      <sz val="9"/>
    </font>
    <font>
      <b val="1"/>
      <color rgb="00FFFFFF"/>
      <sz val="9"/>
    </font>
    <font>
      <color rgb="00FFFFFF"/>
      <sz val="10"/>
    </font>
    <font>
      <color rgb="002D2D2D"/>
      <sz val="10"/>
    </font>
    <font>
      <b val="1"/>
      <color rgb="003B82F6"/>
      <sz val="11"/>
    </font>
    <font>
      <i val="1"/>
      <color rgb="006B6B6B"/>
      <sz val="11"/>
    </font>
    <font>
      <b val="1"/>
      <color rgb="00F59E0B"/>
      <sz val="11"/>
    </font>
    <font>
      <b val="1"/>
      <color rgb="008B5CF6"/>
      <sz val="11"/>
    </font>
    <font>
      <i val="1"/>
      <color rgb="00EF4444"/>
      <sz val="11"/>
    </font>
  </fonts>
  <fills count="21">
    <fill>
      <patternFill/>
    </fill>
    <fill>
      <patternFill patternType="gray125"/>
    </fill>
    <fill>
      <patternFill patternType="solid">
        <fgColor rgb="007C4F2A"/>
      </patternFill>
    </fill>
    <fill>
      <patternFill patternType="solid">
        <fgColor rgb="00E5E0D8"/>
      </patternFill>
    </fill>
    <fill>
      <patternFill patternType="solid">
        <fgColor rgb="004A3520"/>
      </patternFill>
    </fill>
    <fill>
      <patternFill patternType="solid">
        <fgColor rgb="00FFFFFF"/>
      </patternFill>
    </fill>
    <fill>
      <patternFill patternType="solid">
        <fgColor rgb="00F8F5F0"/>
      </patternFill>
    </fill>
    <fill>
      <patternFill patternType="solid">
        <fgColor rgb="00FEF9C3"/>
      </patternFill>
    </fill>
    <fill>
      <patternFill patternType="solid">
        <fgColor rgb="00EFF6FF"/>
      </patternFill>
    </fill>
    <fill>
      <patternFill patternType="solid">
        <fgColor rgb="003B82F6"/>
      </patternFill>
    </fill>
    <fill>
      <patternFill patternType="solid">
        <fgColor rgb="00DCFCE7"/>
      </patternFill>
    </fill>
    <fill>
      <patternFill patternType="solid">
        <fgColor rgb="00FFFBEB"/>
      </patternFill>
    </fill>
    <fill>
      <patternFill patternType="solid">
        <fgColor rgb="00F59E0B"/>
      </patternFill>
    </fill>
    <fill>
      <patternFill patternType="solid">
        <fgColor rgb="00F0FDF4"/>
      </patternFill>
    </fill>
    <fill>
      <patternFill patternType="solid">
        <fgColor rgb="0014B8A6"/>
      </patternFill>
    </fill>
    <fill>
      <patternFill patternType="solid">
        <fgColor rgb="00FCA5A5"/>
      </patternFill>
    </fill>
    <fill>
      <patternFill patternType="solid">
        <fgColor rgb="00FDE68A"/>
      </patternFill>
    </fill>
    <fill>
      <patternFill patternType="solid">
        <fgColor rgb="0086EFAC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FEE2E2"/>
      </patternFill>
    </fill>
  </fills>
  <borders count="4">
    <border>
      <left/>
      <right/>
      <top/>
      <bottom/>
      <diagonal/>
    </border>
    <border>
      <bottom style="medium">
        <color rgb="007C4F2A"/>
      </bottom>
    </border>
    <border>
      <left/>
      <right/>
      <top/>
      <bottom style="medium">
        <color rgb="007C4F2A"/>
      </bottom>
      <diagonal/>
    </border>
    <border>
      <left style="thin">
        <color rgb="00E5E0D8"/>
      </left>
      <right style="thin">
        <color rgb="00E5E0D8"/>
      </right>
      <top style="thin">
        <color rgb="00E5E0D8"/>
      </top>
      <bottom style="thin">
        <color rgb="00E5E0D8"/>
      </bottom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4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center"/>
    </xf>
    <xf numFmtId="164" fontId="5" fillId="5" borderId="3" applyAlignment="1" pivotButton="0" quotePrefix="0" xfId="0">
      <alignment horizontal="right" vertical="center"/>
    </xf>
    <xf numFmtId="0" fontId="4" fillId="5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left" vertical="center"/>
    </xf>
    <xf numFmtId="164" fontId="5" fillId="6" borderId="3" applyAlignment="1" pivotButton="0" quotePrefix="0" xfId="0">
      <alignment horizontal="right" vertical="center"/>
    </xf>
    <xf numFmtId="0" fontId="4" fillId="6" borderId="3" applyAlignment="1" pivotButton="0" quotePrefix="0" xfId="0">
      <alignment horizontal="center" vertical="center"/>
    </xf>
    <xf numFmtId="164" fontId="4" fillId="6" borderId="3" applyAlignment="1" pivotButton="0" quotePrefix="0" xfId="0">
      <alignment horizontal="right" vertical="center"/>
    </xf>
    <xf numFmtId="0" fontId="6" fillId="6" borderId="3" applyAlignment="1" pivotButton="0" quotePrefix="0" xfId="0">
      <alignment horizontal="center" vertical="center"/>
    </xf>
    <xf numFmtId="164" fontId="4" fillId="5" borderId="3" applyAlignment="1" pivotButton="0" quotePrefix="0" xfId="0">
      <alignment horizontal="right" vertical="center"/>
    </xf>
    <xf numFmtId="0" fontId="6" fillId="5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164" fontId="7" fillId="3" borderId="3" applyAlignment="1" pivotButton="0" quotePrefix="0" xfId="0">
      <alignment horizontal="right" vertical="center"/>
    </xf>
    <xf numFmtId="0" fontId="4" fillId="3" borderId="3" applyAlignment="1" pivotButton="0" quotePrefix="0" xfId="0">
      <alignment horizontal="right" vertical="center"/>
    </xf>
    <xf numFmtId="0" fontId="4" fillId="3" borderId="3" applyAlignment="1" pivotButton="0" quotePrefix="0" xfId="0">
      <alignment horizontal="left" vertical="center"/>
    </xf>
    <xf numFmtId="3" fontId="4" fillId="6" borderId="3" applyAlignment="1" pivotButton="0" quotePrefix="0" xfId="0">
      <alignment horizontal="right" vertical="center"/>
    </xf>
    <xf numFmtId="3" fontId="4" fillId="5" borderId="3" applyAlignment="1" pivotButton="0" quotePrefix="0" xfId="0">
      <alignment horizontal="right" vertical="center"/>
    </xf>
    <xf numFmtId="0" fontId="4" fillId="7" borderId="3" applyAlignment="1" pivotButton="0" quotePrefix="0" xfId="0">
      <alignment horizontal="center" vertical="center"/>
    </xf>
    <xf numFmtId="3" fontId="4" fillId="7" borderId="3" applyAlignment="1" pivotButton="0" quotePrefix="0" xfId="0">
      <alignment horizontal="right" vertical="center"/>
    </xf>
    <xf numFmtId="0" fontId="8" fillId="7" borderId="3" applyAlignment="1" pivotButton="0" quotePrefix="0" xfId="0">
      <alignment horizontal="center" vertical="center"/>
    </xf>
    <xf numFmtId="164" fontId="8" fillId="7" borderId="3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0" fontId="8" fillId="7" borderId="3" applyAlignment="1" pivotButton="0" quotePrefix="0" xfId="0">
      <alignment horizontal="left" vertical="center"/>
    </xf>
    <xf numFmtId="0" fontId="4" fillId="7" borderId="3" applyAlignment="1" pivotButton="0" quotePrefix="0" xfId="0">
      <alignment horizontal="left" vertical="center"/>
    </xf>
    <xf numFmtId="0" fontId="4" fillId="7" borderId="3" applyAlignment="1" pivotButton="0" quotePrefix="0" xfId="0">
      <alignment horizontal="right" vertical="center"/>
    </xf>
    <xf numFmtId="0" fontId="5" fillId="6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right" vertical="center"/>
    </xf>
    <xf numFmtId="0" fontId="5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right" vertical="center"/>
    </xf>
    <xf numFmtId="0" fontId="7" fillId="0" borderId="0" pivotButton="0" quotePrefix="0" xfId="0"/>
    <xf numFmtId="0" fontId="7" fillId="6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3" fillId="9" borderId="3" applyAlignment="1" pivotButton="0" quotePrefix="0" xfId="0">
      <alignment horizontal="center" vertical="center" wrapText="1"/>
    </xf>
    <xf numFmtId="3" fontId="4" fillId="5" borderId="3" applyAlignment="1" pivotButton="0" quotePrefix="0" xfId="0">
      <alignment horizontal="center" vertical="center"/>
    </xf>
    <xf numFmtId="164" fontId="4" fillId="5" borderId="3" applyAlignment="1" pivotButton="0" quotePrefix="0" xfId="0">
      <alignment horizontal="center" vertical="center"/>
    </xf>
    <xf numFmtId="49" fontId="4" fillId="5" borderId="3" applyAlignment="1" pivotButton="0" quotePrefix="0" xfId="0">
      <alignment horizontal="center" vertical="center"/>
    </xf>
    <xf numFmtId="165" fontId="4" fillId="5" borderId="3" applyAlignment="1" pivotButton="0" quotePrefix="0" xfId="0">
      <alignment horizontal="center" vertical="center"/>
    </xf>
    <xf numFmtId="164" fontId="8" fillId="5" borderId="3" applyAlignment="1" pivotButton="0" quotePrefix="0" xfId="0">
      <alignment horizontal="center" vertical="center"/>
    </xf>
    <xf numFmtId="166" fontId="4" fillId="5" borderId="3" applyAlignment="1" pivotButton="0" quotePrefix="0" xfId="0">
      <alignment horizontal="center" vertical="center"/>
    </xf>
    <xf numFmtId="3" fontId="4" fillId="6" borderId="3" applyAlignment="1" pivotButton="0" quotePrefix="0" xfId="0">
      <alignment horizontal="center" vertical="center"/>
    </xf>
    <xf numFmtId="164" fontId="4" fillId="6" borderId="3" applyAlignment="1" pivotButton="0" quotePrefix="0" xfId="0">
      <alignment horizontal="center" vertical="center"/>
    </xf>
    <xf numFmtId="49" fontId="4" fillId="6" borderId="3" applyAlignment="1" pivotButton="0" quotePrefix="0" xfId="0">
      <alignment horizontal="center" vertical="center"/>
    </xf>
    <xf numFmtId="165" fontId="4" fillId="6" borderId="3" applyAlignment="1" pivotButton="0" quotePrefix="0" xfId="0">
      <alignment horizontal="center" vertical="center"/>
    </xf>
    <xf numFmtId="164" fontId="8" fillId="6" borderId="3" applyAlignment="1" pivotButton="0" quotePrefix="0" xfId="0">
      <alignment horizontal="center" vertical="center"/>
    </xf>
    <xf numFmtId="166" fontId="4" fillId="6" borderId="3" applyAlignment="1" pivotButton="0" quotePrefix="0" xfId="0">
      <alignment horizontal="center" vertical="center"/>
    </xf>
    <xf numFmtId="3" fontId="4" fillId="7" borderId="3" applyAlignment="1" pivotButton="0" quotePrefix="0" xfId="0">
      <alignment horizontal="center" vertical="center"/>
    </xf>
    <xf numFmtId="164" fontId="4" fillId="7" borderId="3" applyAlignment="1" pivotButton="0" quotePrefix="0" xfId="0">
      <alignment horizontal="center" vertical="center"/>
    </xf>
    <xf numFmtId="49" fontId="4" fillId="7" borderId="3" applyAlignment="1" pivotButton="0" quotePrefix="0" xfId="0">
      <alignment horizontal="center" vertical="center"/>
    </xf>
    <xf numFmtId="165" fontId="4" fillId="7" borderId="3" applyAlignment="1" pivotButton="0" quotePrefix="0" xfId="0">
      <alignment horizontal="center" vertical="center"/>
    </xf>
    <xf numFmtId="164" fontId="8" fillId="7" borderId="3" applyAlignment="1" pivotButton="0" quotePrefix="0" xfId="0">
      <alignment horizontal="center" vertical="center"/>
    </xf>
    <xf numFmtId="166" fontId="4" fillId="7" borderId="3" applyAlignment="1" pivotButton="0" quotePrefix="0" xfId="0">
      <alignment horizontal="center" vertical="center"/>
    </xf>
    <xf numFmtId="3" fontId="4" fillId="10" borderId="3" applyAlignment="1" pivotButton="0" quotePrefix="0" xfId="0">
      <alignment horizontal="center" vertical="center"/>
    </xf>
    <xf numFmtId="164" fontId="4" fillId="10" borderId="3" applyAlignment="1" pivotButton="0" quotePrefix="0" xfId="0">
      <alignment horizontal="center" vertical="center"/>
    </xf>
    <xf numFmtId="49" fontId="4" fillId="10" borderId="3" applyAlignment="1" pivotButton="0" quotePrefix="0" xfId="0">
      <alignment horizontal="center" vertical="center"/>
    </xf>
    <xf numFmtId="165" fontId="4" fillId="10" borderId="3" applyAlignment="1" pivotButton="0" quotePrefix="0" xfId="0">
      <alignment horizontal="center" vertical="center"/>
    </xf>
    <xf numFmtId="164" fontId="9" fillId="10" borderId="3" applyAlignment="1" pivotButton="0" quotePrefix="0" xfId="0">
      <alignment horizontal="center" vertical="center"/>
    </xf>
    <xf numFmtId="166" fontId="4" fillId="10" borderId="3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3" fillId="12" borderId="3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/>
    </xf>
    <xf numFmtId="0" fontId="3" fillId="14" borderId="3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167" fontId="12" fillId="15" borderId="3" applyAlignment="1" pivotButton="0" quotePrefix="0" xfId="0">
      <alignment horizontal="center" vertical="center"/>
    </xf>
    <xf numFmtId="167" fontId="13" fillId="16" borderId="3" applyAlignment="1" pivotButton="0" quotePrefix="0" xfId="0">
      <alignment horizontal="center" vertical="center"/>
    </xf>
    <xf numFmtId="167" fontId="13" fillId="15" borderId="3" applyAlignment="1" pivotButton="0" quotePrefix="0" xfId="0">
      <alignment horizontal="center" vertical="center"/>
    </xf>
    <xf numFmtId="167" fontId="13" fillId="17" borderId="3" applyAlignment="1" pivotButton="0" quotePrefix="0" xfId="0">
      <alignment horizontal="center" vertical="center"/>
    </xf>
    <xf numFmtId="167" fontId="14" fillId="18" borderId="3" applyAlignment="1" pivotButton="0" quotePrefix="0" xfId="0">
      <alignment horizontal="center" vertical="center"/>
    </xf>
    <xf numFmtId="167" fontId="14" fillId="19" borderId="3" applyAlignment="1" pivotButton="0" quotePrefix="0" xfId="0">
      <alignment horizontal="center" vertical="center"/>
    </xf>
    <xf numFmtId="167" fontId="15" fillId="18" borderId="3" applyAlignment="1" pivotButton="0" quotePrefix="0" xfId="0">
      <alignment horizontal="center" vertical="center"/>
    </xf>
    <xf numFmtId="0" fontId="16" fillId="18" borderId="3" applyAlignment="1" pivotButton="0" quotePrefix="0" xfId="0">
      <alignment horizontal="center" vertical="center"/>
    </xf>
    <xf numFmtId="0" fontId="17" fillId="17" borderId="3" applyAlignment="1" pivotButton="0" quotePrefix="0" xfId="0">
      <alignment horizontal="center" vertical="center"/>
    </xf>
    <xf numFmtId="0" fontId="17" fillId="16" borderId="3" applyAlignment="1" pivotButton="0" quotePrefix="0" xfId="0">
      <alignment horizontal="center" vertical="center"/>
    </xf>
    <xf numFmtId="0" fontId="17" fillId="15" borderId="3" applyAlignment="1" pivotButton="0" quotePrefix="0" xfId="0">
      <alignment horizontal="center" vertical="center"/>
    </xf>
    <xf numFmtId="0" fontId="16" fillId="19" borderId="3" applyAlignment="1" pivotButton="0" quotePrefix="0" xfId="0">
      <alignment horizontal="center" vertical="center"/>
    </xf>
    <xf numFmtId="0" fontId="18" fillId="6" borderId="3" applyAlignment="1" pivotButton="0" quotePrefix="0" xfId="0">
      <alignment horizontal="left" vertical="center" wrapText="1"/>
    </xf>
    <xf numFmtId="0" fontId="19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left" vertical="center"/>
    </xf>
    <xf numFmtId="164" fontId="8" fillId="20" borderId="3" applyAlignment="1" pivotButton="0" quotePrefix="0" xfId="0">
      <alignment horizontal="center" vertical="center"/>
    </xf>
    <xf numFmtId="0" fontId="20" fillId="6" borderId="3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left" vertical="center" wrapText="1"/>
    </xf>
    <xf numFmtId="0" fontId="21" fillId="6" borderId="3" applyAlignment="1" pivotButton="0" quotePrefix="0" xfId="0">
      <alignment horizontal="left" vertical="center" wrapText="1"/>
    </xf>
    <xf numFmtId="0" fontId="5" fillId="0" borderId="0" pivotButton="0" quotePrefix="0" xfId="0"/>
    <xf numFmtId="164" fontId="0" fillId="0" borderId="0" pivotButton="0" quotePrefix="0" xfId="0"/>
    <xf numFmtId="0" fontId="22" fillId="0" borderId="0" pivotButton="0" quotePrefix="0" xfId="0"/>
    <xf numFmtId="0" fontId="18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164" fontId="8" fillId="0" borderId="0" pivotButton="0" quotePrefix="0" xfId="0"/>
    <xf numFmtId="164" fontId="9" fillId="0" borderId="0" pivotButton="0" quotePrefix="0" xfId="0"/>
    <xf numFmtId="0" fontId="19" fillId="5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Net Profit by Growth Scenario</a:t>
            </a:r>
          </a:p>
        </rich>
      </tx>
    </title>
    <plotArea>
      <lineChart>
        <grouping val="standard"/>
        <ser>
          <idx val="0"/>
          <order val="0"/>
          <tx>
            <v>Conservative</v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'Charts'!$B$4</f>
            </numRef>
          </val>
        </ser>
        <ser>
          <idx val="1"/>
          <order val="1"/>
          <tx>
            <v>Moderate</v>
          </tx>
          <spPr>
            <a:ln w="2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'Charts'!$C$4</f>
            </numRef>
          </val>
        </ser>
        <ser>
          <idx val="2"/>
          <order val="2"/>
          <tx>
            <v>Optimistic (CTS)</v>
          </tx>
          <spPr>
            <a:ln w="2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'Charts'!$D$4</f>
            </numRef>
          </val>
        </ser>
        <ser>
          <idx val="3"/>
          <order val="3"/>
          <tx>
            <v>With Church Growth</v>
          </tx>
          <spPr>
            <a:ln w="25000"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'Charts'!$E$4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'Charts'!$F$4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'Charts'!$G$4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'Charts'!$H$4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'Charts'!$I$4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'Charts'!$J$4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'Charts'!$B$5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'Charts'!$C$5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'Charts'!$D$5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'Charts'!$E$5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'Charts'!$F$5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'Charts'!$G$5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'Charts'!$H$5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'Charts'!$I$5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'Charts'!$J$5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'Charts'!$B$6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'Charts'!$C$6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'Charts'!$D$6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'Charts'!$E$6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'Charts'!$F$6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'Charts'!$G$6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'Charts'!$H$6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'Charts'!$I$6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'Charts'!$J$6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'Charts'!$B$7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'Charts'!$C$7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'Charts'!$D$7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'Charts'!$E$7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'Charts'!$F$7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'Charts'!$G$7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'Charts'!$H$7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'Charts'!$I$7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'Charts'!$B$3:$J$3</f>
            </numRef>
          </cat>
          <val>
            <numRef>
              <f>'Charts'!$J$7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'Charts'!$B$8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'Charts'!$C$8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'Charts'!$D$8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'Charts'!$E$8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'Charts'!$F$8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'Charts'!$G$8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'Charts'!$H$8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'Charts'!$I$8</f>
            </numRef>
          </val>
        </ser>
        <ser>
          <idx val="44"/>
          <order val="44"/>
          <tx>
            <v>Break-Even ($0)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'Charts'!$J$8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5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Profit / Loss ($)</a:t>
                </a:r>
              </a:p>
            </rich>
          </tx>
        </title>
        <majorTickMark val="none"/>
        <minorTickMark val="none"/>
        <crossAx val="50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Components vs. Cost — Key Milestones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'Charts'!B35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'Charts'!$A$36:$A$44</f>
            </numRef>
          </cat>
          <val>
            <numRef>
              <f>'Charts'!$B$36:$B$44</f>
            </numRef>
          </val>
        </ser>
        <ser>
          <idx val="1"/>
          <order val="1"/>
          <tx>
            <strRef>
              <f>'Charts'!C35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'Charts'!$A$36:$A$44</f>
            </numRef>
          </cat>
          <val>
            <numRef>
              <f>'Charts'!$C$36:$C$44</f>
            </numRef>
          </val>
        </ser>
        <ser>
          <idx val="2"/>
          <order val="2"/>
          <tx>
            <strRef>
              <f>'Charts'!D35</f>
            </strRef>
          </tx>
          <spPr>
            <a:solidFill>
              <a:srgbClr val="7030A0"/>
            </a:solidFill>
            <a:ln>
              <a:prstDash val="solid"/>
            </a:ln>
          </spPr>
          <cat>
            <numRef>
              <f>'Charts'!$A$36:$A$44</f>
            </numRef>
          </cat>
          <val>
            <numRef>
              <f>'Charts'!$D$36:$D$44</f>
            </numRef>
          </val>
        </ser>
        <ser>
          <idx val="3"/>
          <order val="3"/>
          <tx>
            <strRef>
              <f>'Charts'!E35</f>
            </strRef>
          </tx>
          <spPr>
            <a:solidFill>
              <a:srgbClr val="FF0000"/>
            </a:solidFill>
            <a:ln>
              <a:prstDash val="solid"/>
            </a:ln>
          </spPr>
          <cat>
            <numRef>
              <f>'Charts'!$A$36:$A$44</f>
            </numRef>
          </cat>
          <val>
            <numRef>
              <f>'Charts'!$E$36:$E$44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Subscriber 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Monthly $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Personal Pro Only — Revenue vs. Cost (Break-Even Analysis)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'Charts'!B90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'Charts'!$A$91:$A$108</f>
            </numRef>
          </cat>
          <val>
            <numRef>
              <f>'Charts'!$B$91:$B$108</f>
            </numRef>
          </val>
        </ser>
        <ser>
          <idx val="1"/>
          <order val="1"/>
          <tx>
            <strRef>
              <f>'Charts'!C90</f>
            </strRef>
          </tx>
          <spPr>
            <a:ln w="2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'Charts'!$A$91:$A$108</f>
            </numRef>
          </cat>
          <val>
            <numRef>
              <f>'Charts'!$C$91:$C$108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PP Subscribers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Monthly $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54</row>
      <rowOff>0</rowOff>
    </from>
    <ext cx="864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9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28" customWidth="1" min="4" max="4"/>
  </cols>
  <sheetData>
    <row r="1" ht="40" customHeight="1">
      <c r="A1" s="1" t="inlineStr">
        <is>
          <t>Pastor Dave Pro — Monthly Cost Structure</t>
        </is>
      </c>
    </row>
    <row r="3">
      <c r="A3" s="2" t="inlineStr">
        <is>
          <t>FIXED MONTHLY COSTS (platform baseline)</t>
        </is>
      </c>
      <c r="B3" s="3" t="n"/>
      <c r="C3" s="3" t="n"/>
      <c r="D3" s="3" t="n"/>
    </row>
    <row r="4">
      <c r="A4" s="4" t="inlineStr">
        <is>
          <t>Service</t>
        </is>
      </c>
      <c r="B4" s="4" t="inlineStr">
        <is>
          <t>Monthly Cost</t>
        </is>
      </c>
      <c r="C4" s="4" t="inlineStr">
        <is>
          <t>Plan/Tier</t>
        </is>
      </c>
      <c r="D4" s="4" t="inlineStr">
        <is>
          <t>Notes</t>
        </is>
      </c>
    </row>
    <row r="5">
      <c r="A5" s="5" t="inlineStr">
        <is>
          <t>API.Bible Pro (commercial)</t>
        </is>
      </c>
      <c r="B5" s="6" t="n">
        <v>29</v>
      </c>
      <c r="C5" s="7" t="inlineStr">
        <is>
          <t>Paid</t>
        </is>
      </c>
      <c r="D5" s="5" t="inlineStr">
        <is>
          <t>Required for commercial use</t>
        </is>
      </c>
    </row>
    <row r="6">
      <c r="A6" s="8" t="inlineStr">
        <is>
          <t>API.Bible NLT Translation License</t>
        </is>
      </c>
      <c r="B6" s="9" t="n">
        <v>10</v>
      </c>
      <c r="C6" s="10" t="inlineStr">
        <is>
          <t>Paid</t>
        </is>
      </c>
      <c r="D6" s="8" t="inlineStr">
        <is>
          <t>NLT copyrighted — required for commercial use</t>
        </is>
      </c>
    </row>
    <row r="7">
      <c r="A7" s="5" t="inlineStr">
        <is>
          <t>Cloudflare Workers Paid</t>
        </is>
      </c>
      <c r="B7" s="6" t="n">
        <v>5</v>
      </c>
      <c r="C7" s="7" t="inlineStr">
        <is>
          <t>Paid</t>
        </is>
      </c>
      <c r="D7" s="5" t="inlineStr">
        <is>
          <t>Pages Functions, D1 database, Workers</t>
        </is>
      </c>
    </row>
    <row r="8">
      <c r="A8" s="8" t="inlineStr">
        <is>
          <t>Clerk Auth (free &lt;50K users)</t>
        </is>
      </c>
      <c r="B8" s="11" t="n">
        <v>0</v>
      </c>
      <c r="C8" s="12" t="inlineStr">
        <is>
          <t>Free</t>
        </is>
      </c>
      <c r="D8" s="8" t="inlineStr">
        <is>
          <t>Free up to 50,000 monthly retained users</t>
        </is>
      </c>
    </row>
    <row r="9">
      <c r="A9" s="5" t="inlineStr">
        <is>
          <t>Mem0 Memory API (free tier)</t>
        </is>
      </c>
      <c r="B9" s="13" t="n">
        <v>0</v>
      </c>
      <c r="C9" s="14" t="inlineStr">
        <is>
          <t>Free</t>
        </is>
      </c>
      <c r="D9" s="5" t="inlineStr">
        <is>
          <t>10K memories free; upgrade at scale</t>
        </is>
      </c>
    </row>
    <row r="10">
      <c r="A10" s="8" t="inlineStr">
        <is>
          <t>Resend Email (free tier)</t>
        </is>
      </c>
      <c r="B10" s="11" t="n">
        <v>0</v>
      </c>
      <c r="C10" s="12" t="inlineStr">
        <is>
          <t>Free</t>
        </is>
      </c>
      <c r="D10" s="8" t="inlineStr">
        <is>
          <t>3,000 emails/mo free; upgrade at scale</t>
        </is>
      </c>
    </row>
    <row r="11">
      <c r="A11" s="5" t="inlineStr">
        <is>
          <t>AssemblyAI Transcription (free)</t>
        </is>
      </c>
      <c r="B11" s="13" t="n">
        <v>0</v>
      </c>
      <c r="C11" s="14" t="inlineStr">
        <is>
          <t>Free</t>
        </is>
      </c>
      <c r="D11" s="5" t="inlineStr">
        <is>
          <t>5 hrs/mo free — covers 1 sermon/week</t>
        </is>
      </c>
    </row>
    <row r="12">
      <c r="A12" s="15" t="inlineStr">
        <is>
          <t>TOTAL FIXED COSTS</t>
        </is>
      </c>
      <c r="B12" s="16" t="n">
        <v>44</v>
      </c>
      <c r="C12" s="17" t="inlineStr"/>
      <c r="D12" s="18" t="inlineStr">
        <is>
          <t>Before ElevenLabs (variable)</t>
        </is>
      </c>
    </row>
    <row r="14">
      <c r="A14" s="2" t="inlineStr">
        <is>
          <t>ELEVENLABS VOICE AI — VARIABLE COST (scales with active users)</t>
        </is>
      </c>
      <c r="B14" s="3" t="n"/>
      <c r="C14" s="3" t="n"/>
      <c r="D14" s="3" t="n"/>
    </row>
    <row r="15">
      <c r="A15" s="4" t="inlineStr">
        <is>
          <t>Active Users (all tiers combined)</t>
        </is>
      </c>
      <c r="B15" s="4" t="inlineStr">
        <is>
          <t>Credits Needed</t>
        </is>
      </c>
      <c r="C15" s="4" t="inlineStr">
        <is>
          <t>ElevenLabs Plan</t>
        </is>
      </c>
      <c r="D15" s="4" t="inlineStr">
        <is>
          <t>Monthly Cost</t>
        </is>
      </c>
    </row>
    <row r="16">
      <c r="A16" s="10" t="n">
        <v>1</v>
      </c>
      <c r="B16" s="19" t="n">
        <v>71000</v>
      </c>
      <c r="C16" s="10" t="inlineStr">
        <is>
          <t>Pro</t>
        </is>
      </c>
      <c r="D16" s="11" t="n">
        <v>99</v>
      </c>
    </row>
    <row r="17">
      <c r="A17" s="7" t="n">
        <v>3</v>
      </c>
      <c r="B17" s="20" t="n">
        <v>213000</v>
      </c>
      <c r="C17" s="7" t="inlineStr">
        <is>
          <t>Pro</t>
        </is>
      </c>
      <c r="D17" s="13" t="n">
        <v>99</v>
      </c>
    </row>
    <row r="18">
      <c r="A18" s="10" t="n">
        <v>5</v>
      </c>
      <c r="B18" s="19" t="n">
        <v>355000</v>
      </c>
      <c r="C18" s="10" t="inlineStr">
        <is>
          <t>Pro</t>
        </is>
      </c>
      <c r="D18" s="11" t="n">
        <v>99</v>
      </c>
    </row>
    <row r="19">
      <c r="A19" s="7" t="n">
        <v>7</v>
      </c>
      <c r="B19" s="20" t="n">
        <v>497000</v>
      </c>
      <c r="C19" s="7" t="inlineStr">
        <is>
          <t>Pro</t>
        </is>
      </c>
      <c r="D19" s="13" t="n">
        <v>99</v>
      </c>
    </row>
    <row r="20">
      <c r="A20" s="21" t="n">
        <v>8</v>
      </c>
      <c r="B20" s="22" t="n">
        <v>568000</v>
      </c>
      <c r="C20" s="23" t="inlineStr">
        <is>
          <t>Scale ← PLAN JUMP</t>
        </is>
      </c>
      <c r="D20" s="24" t="n">
        <v>330</v>
      </c>
    </row>
    <row r="21">
      <c r="A21" s="7" t="n">
        <v>10</v>
      </c>
      <c r="B21" s="20" t="n">
        <v>710000</v>
      </c>
      <c r="C21" s="7" t="inlineStr">
        <is>
          <t>Scale</t>
        </is>
      </c>
      <c r="D21" s="13" t="n">
        <v>330</v>
      </c>
    </row>
    <row r="22">
      <c r="A22" s="10" t="n">
        <v>12</v>
      </c>
      <c r="B22" s="19" t="n">
        <v>852000</v>
      </c>
      <c r="C22" s="10" t="inlineStr">
        <is>
          <t>Scale</t>
        </is>
      </c>
      <c r="D22" s="11" t="n">
        <v>330</v>
      </c>
    </row>
    <row r="23">
      <c r="A23" s="7" t="n">
        <v>15</v>
      </c>
      <c r="B23" s="20" t="n">
        <v>1065000</v>
      </c>
      <c r="C23" s="7" t="inlineStr">
        <is>
          <t>Scale</t>
        </is>
      </c>
      <c r="D23" s="13" t="n">
        <v>330</v>
      </c>
    </row>
    <row r="24">
      <c r="A24" s="10" t="n">
        <v>20</v>
      </c>
      <c r="B24" s="19" t="n">
        <v>1420000</v>
      </c>
      <c r="C24" s="10" t="inlineStr">
        <is>
          <t>Scale</t>
        </is>
      </c>
      <c r="D24" s="11" t="n">
        <v>330</v>
      </c>
    </row>
    <row r="25">
      <c r="A25" s="7" t="n">
        <v>25</v>
      </c>
      <c r="B25" s="20" t="n">
        <v>1775000</v>
      </c>
      <c r="C25" s="7" t="inlineStr">
        <is>
          <t>Scale</t>
        </is>
      </c>
      <c r="D25" s="13" t="n">
        <v>330</v>
      </c>
    </row>
    <row r="26">
      <c r="A26" s="10" t="n">
        <v>28</v>
      </c>
      <c r="B26" s="19" t="n">
        <v>1988000</v>
      </c>
      <c r="C26" s="10" t="inlineStr">
        <is>
          <t>Scale</t>
        </is>
      </c>
      <c r="D26" s="11" t="n">
        <v>330</v>
      </c>
    </row>
    <row r="27">
      <c r="A27" s="21" t="n">
        <v>29</v>
      </c>
      <c r="B27" s="22" t="n">
        <v>2059000</v>
      </c>
      <c r="C27" s="23" t="inlineStr">
        <is>
          <t>Business ← PLAN JUMP</t>
        </is>
      </c>
      <c r="D27" s="24" t="n">
        <v>1320</v>
      </c>
    </row>
    <row r="28">
      <c r="A28" s="10" t="n">
        <v>30</v>
      </c>
      <c r="B28" s="19" t="n">
        <v>2130000</v>
      </c>
      <c r="C28" s="10" t="inlineStr">
        <is>
          <t>Business</t>
        </is>
      </c>
      <c r="D28" s="11" t="n">
        <v>1320</v>
      </c>
    </row>
    <row r="29">
      <c r="A29" s="7" t="n">
        <v>40</v>
      </c>
      <c r="B29" s="20" t="n">
        <v>2840000</v>
      </c>
      <c r="C29" s="7" t="inlineStr">
        <is>
          <t>Business</t>
        </is>
      </c>
      <c r="D29" s="13" t="n">
        <v>1320</v>
      </c>
    </row>
    <row r="30">
      <c r="A30" s="10" t="n">
        <v>50</v>
      </c>
      <c r="B30" s="19" t="n">
        <v>3550000</v>
      </c>
      <c r="C30" s="10" t="inlineStr">
        <is>
          <t>Business</t>
        </is>
      </c>
      <c r="D30" s="11" t="n">
        <v>1320</v>
      </c>
    </row>
    <row r="31">
      <c r="A31" s="7" t="n">
        <v>75</v>
      </c>
      <c r="B31" s="20" t="n">
        <v>5325000</v>
      </c>
      <c r="C31" s="7" t="inlineStr">
        <is>
          <t>Business</t>
        </is>
      </c>
      <c r="D31" s="13" t="n">
        <v>1320</v>
      </c>
    </row>
    <row r="32">
      <c r="A32" s="10" t="n">
        <v>100</v>
      </c>
      <c r="B32" s="19" t="n">
        <v>7100000</v>
      </c>
      <c r="C32" s="10" t="inlineStr">
        <is>
          <t>Business</t>
        </is>
      </c>
      <c r="D32" s="11" t="n">
        <v>1320</v>
      </c>
    </row>
    <row r="33">
      <c r="A33" s="7" t="n">
        <v>150</v>
      </c>
      <c r="B33" s="20" t="n">
        <v>10650000</v>
      </c>
      <c r="C33" s="7" t="inlineStr">
        <is>
          <t>Business</t>
        </is>
      </c>
      <c r="D33" s="13" t="n">
        <v>1320</v>
      </c>
    </row>
    <row r="36">
      <c r="A36" s="25" t="inlineStr">
        <is>
          <t>⚠️  CRITICAL PRICING CLIFFS</t>
        </is>
      </c>
      <c r="B36" s="3" t="n"/>
      <c r="C36" s="3" t="n"/>
      <c r="D36" s="3" t="n"/>
    </row>
    <row r="37">
      <c r="A37" s="26" t="inlineStr">
        <is>
          <t>At 7 active users</t>
        </is>
      </c>
      <c r="B37" s="21" t="inlineStr">
        <is>
          <t>ElevenLabs Pro $99/mo</t>
        </is>
      </c>
      <c r="C37" s="27" t="inlineStr">
        <is>
          <t>Adding user 8 jumps cost to Scale $330 (+$231 overnight)</t>
        </is>
      </c>
      <c r="D37" s="28" t="inlineStr"/>
    </row>
    <row r="38">
      <c r="A38" s="26" t="inlineStr">
        <is>
          <t>At 28 active users</t>
        </is>
      </c>
      <c r="B38" s="21" t="inlineStr">
        <is>
          <t>ElevenLabs Scale $330/mo</t>
        </is>
      </c>
      <c r="C38" s="27" t="inlineStr">
        <is>
          <t>Adding user 29 jumps to Business $1,320 (+$990 overnight)</t>
        </is>
      </c>
      <c r="D38" s="28" t="inlineStr"/>
    </row>
    <row r="39">
      <c r="A39" s="26" t="inlineStr">
        <is>
          <t>Active user def.</t>
        </is>
      </c>
      <c r="B39" s="21" t="inlineStr">
        <is>
          <t>3+ sessions/month</t>
        </is>
      </c>
      <c r="C39" s="27" t="inlineStr">
        <is>
          <t>Members using it &lt;3x/month don't count toward credit pool</t>
        </is>
      </c>
      <c r="D39" s="28" t="inlineStr"/>
    </row>
    <row r="41">
      <c r="A41" s="2" t="inlineStr">
        <is>
          <t>NHC PILOT — ACTUAL 30-DAY USAGE (Feb 26–Mar 26, 2026)</t>
        </is>
      </c>
      <c r="B41" s="3" t="n"/>
      <c r="C41" s="3" t="n"/>
      <c r="D41" s="3" t="n"/>
    </row>
    <row r="42">
      <c r="A42" s="4" t="inlineStr">
        <is>
          <t>Metric</t>
        </is>
      </c>
      <c r="B42" s="4" t="inlineStr">
        <is>
          <t>Value</t>
        </is>
      </c>
      <c r="C42" s="4" t="inlineStr"/>
      <c r="D42" s="4" t="inlineStr">
        <is>
          <t>Notes</t>
        </is>
      </c>
    </row>
    <row r="43">
      <c r="A43" s="8" t="inlineStr">
        <is>
          <t>Total sessions</t>
        </is>
      </c>
      <c r="B43" s="29" t="inlineStr">
        <is>
          <t>218 (179 successful, 37 errors)</t>
        </is>
      </c>
      <c r="C43" s="30" t="inlineStr"/>
      <c r="D43" s="8" t="inlineStr"/>
    </row>
    <row r="44">
      <c r="A44" s="5" t="inlineStr">
        <is>
          <t>Total voice minutes</t>
        </is>
      </c>
      <c r="B44" s="31" t="inlineStr">
        <is>
          <t>445 minutes (7.4 hours)</t>
        </is>
      </c>
      <c r="C44" s="32" t="inlineStr"/>
      <c r="D44" s="5" t="inlineStr"/>
    </row>
    <row r="45">
      <c r="A45" s="8" t="inlineStr">
        <is>
          <t>Total credits used</t>
        </is>
      </c>
      <c r="B45" s="29" t="inlineStr">
        <is>
          <t>352,694</t>
        </is>
      </c>
      <c r="C45" s="30" t="inlineStr"/>
      <c r="D45" s="8" t="inlineStr">
        <is>
          <t>From ElevenLabs usage report</t>
        </is>
      </c>
    </row>
    <row r="46">
      <c r="A46" s="5" t="inlineStr">
        <is>
          <t>Credits per minute</t>
        </is>
      </c>
      <c r="B46" s="31" t="inlineStr">
        <is>
          <t>~792</t>
        </is>
      </c>
      <c r="C46" s="32" t="inlineStr"/>
      <c r="D46" s="5" t="inlineStr"/>
    </row>
    <row r="47">
      <c r="A47" s="8" t="inlineStr">
        <is>
          <t>Average session length</t>
        </is>
      </c>
      <c r="B47" s="29" t="inlineStr">
        <is>
          <t>2.5 minutes</t>
        </is>
      </c>
      <c r="C47" s="30" t="inlineStr"/>
      <c r="D47" s="8" t="inlineStr">
        <is>
          <t>Median: 1.8 min</t>
        </is>
      </c>
    </row>
    <row r="48">
      <c r="A48" s="5" t="inlineStr">
        <is>
          <t>Active users (NHC)</t>
        </is>
      </c>
      <c r="B48" s="31" t="inlineStr">
        <is>
          <t>~5</t>
        </is>
      </c>
      <c r="C48" s="32" t="inlineStr"/>
      <c r="D48" s="5" t="inlineStr">
        <is>
          <t>Testing/pilot group</t>
        </is>
      </c>
    </row>
    <row r="49">
      <c r="A49" s="8" t="inlineStr">
        <is>
          <t>Cost per session</t>
        </is>
      </c>
      <c r="B49" s="29" t="inlineStr">
        <is>
          <t>~$0.39</t>
        </is>
      </c>
      <c r="C49" s="30" t="inlineStr"/>
      <c r="D49" s="8" t="inlineStr">
        <is>
          <t>At Pro plan ($99/500K credits)</t>
        </is>
      </c>
    </row>
    <row r="50">
      <c r="A50" s="5" t="inlineStr">
        <is>
          <t>Cost per active user/mo</t>
        </is>
      </c>
      <c r="B50" s="31" t="inlineStr">
        <is>
          <t>~$14</t>
        </is>
      </c>
      <c r="C50" s="32" t="inlineStr"/>
      <c r="D50" s="5" t="inlineStr">
        <is>
          <t>71K credits × $99/500K</t>
        </is>
      </c>
    </row>
    <row r="51">
      <c r="A51" s="8" t="inlineStr">
        <is>
          <t>Current monthly cost</t>
        </is>
      </c>
      <c r="B51" s="29" t="inlineStr">
        <is>
          <t>$143</t>
        </is>
      </c>
      <c r="C51" s="30" t="inlineStr"/>
      <c r="D51" s="8" t="inlineStr">
        <is>
          <t>$99 ElevenLabs + $44 fixed</t>
        </is>
      </c>
    </row>
    <row r="52">
      <c r="A52" s="5" t="inlineStr">
        <is>
          <t>Current revenue</t>
        </is>
      </c>
      <c r="B52" s="31" t="inlineStr">
        <is>
          <t>$0</t>
        </is>
      </c>
      <c r="C52" s="32" t="inlineStr"/>
      <c r="D52" s="5" t="inlineStr">
        <is>
          <t>Free pilot — NHC not yet paying</t>
        </is>
      </c>
    </row>
    <row r="53">
      <c r="A53" s="8" t="inlineStr">
        <is>
          <t>Monthly loss (pilot)</t>
        </is>
      </c>
      <c r="B53" s="29" t="inlineStr">
        <is>
          <t>-$143</t>
        </is>
      </c>
      <c r="C53" s="30" t="inlineStr"/>
      <c r="D53" s="8" t="inlineStr">
        <is>
          <t>Investment in NHC relationship</t>
        </is>
      </c>
    </row>
  </sheetData>
  <mergeCells count="5">
    <mergeCell ref="A1:D1"/>
    <mergeCell ref="A3:D3"/>
    <mergeCell ref="A41:D41"/>
    <mergeCell ref="A36:D3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 ht="40" customHeight="1">
      <c r="A1" s="1" t="inlineStr">
        <is>
          <t>Pastor Dave Pro — Revenue &amp; Break-Even Model</t>
        </is>
      </c>
    </row>
    <row r="3">
      <c r="A3" s="2" t="inlineStr">
        <is>
          <t>MODEL ASSUMPTIONS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3" t="inlineStr">
        <is>
          <t>Input</t>
        </is>
      </c>
      <c r="F4" s="33" t="inlineStr">
        <is>
          <t>Input</t>
        </is>
      </c>
    </row>
    <row r="5">
      <c r="A5" s="8" t="inlineStr">
        <is>
          <t>Personal Pro price</t>
        </is>
      </c>
      <c r="B5" s="34" t="inlineStr">
        <is>
          <t>$20/mo</t>
        </is>
      </c>
      <c r="C5" s="8" t="inlineStr"/>
      <c r="D5" s="8" t="inlineStr"/>
      <c r="E5" s="8" t="inlineStr"/>
      <c r="F5" s="8" t="inlineStr">
        <is>
          <t>Active users per PP subscriber</t>
        </is>
      </c>
      <c r="G5" s="34" t="inlineStr">
        <is>
          <t>1.0</t>
        </is>
      </c>
      <c r="H5" s="8" t="inlineStr"/>
      <c r="I5" s="8" t="inlineStr"/>
      <c r="J5" s="8" t="inlineStr"/>
    </row>
    <row r="6">
      <c r="A6" s="5" t="inlineStr">
        <is>
          <t>Church Starter price</t>
        </is>
      </c>
      <c r="B6" s="35" t="inlineStr">
        <is>
          <t>$149/mo</t>
        </is>
      </c>
      <c r="C6" s="5" t="inlineStr"/>
      <c r="D6" s="5" t="inlineStr"/>
      <c r="E6" s="5" t="inlineStr"/>
      <c r="F6" s="5" t="inlineStr">
        <is>
          <t>Avg active members per Church Starter</t>
        </is>
      </c>
      <c r="G6" s="35" t="inlineStr">
        <is>
          <t>5.0</t>
        </is>
      </c>
      <c r="H6" s="5" t="inlineStr"/>
      <c r="I6" s="5" t="inlineStr"/>
      <c r="J6" s="5" t="inlineStr"/>
    </row>
    <row r="7">
      <c r="A7" s="8" t="inlineStr">
        <is>
          <t>Church Growth price</t>
        </is>
      </c>
      <c r="B7" s="34" t="inlineStr">
        <is>
          <t>$249/mo</t>
        </is>
      </c>
      <c r="C7" s="8" t="inlineStr"/>
      <c r="D7" s="8" t="inlineStr"/>
      <c r="E7" s="8" t="inlineStr"/>
      <c r="F7" s="8" t="inlineStr">
        <is>
          <t>Avg active members per Church Growth</t>
        </is>
      </c>
      <c r="G7" s="34" t="inlineStr">
        <is>
          <t>15.0</t>
        </is>
      </c>
      <c r="H7" s="8" t="inlineStr"/>
      <c r="I7" s="8" t="inlineStr"/>
      <c r="J7" s="8" t="inlineStr"/>
    </row>
    <row r="8">
      <c r="A8" s="5" t="inlineStr">
        <is>
          <t>Credits per active user/mo</t>
        </is>
      </c>
      <c r="B8" s="35" t="inlineStr">
        <is>
          <t>71,000</t>
        </is>
      </c>
      <c r="C8" s="5" t="inlineStr"/>
      <c r="D8" s="5" t="inlineStr"/>
      <c r="E8" s="5" t="inlineStr"/>
      <c r="F8" s="5" t="inlineStr">
        <is>
          <t>Fixed costs</t>
        </is>
      </c>
      <c r="G8" s="35" t="inlineStr">
        <is>
          <t>$44/mo</t>
        </is>
      </c>
      <c r="H8" s="5" t="inlineStr"/>
      <c r="I8" s="5" t="inlineStr"/>
      <c r="J8" s="5" t="inlineStr"/>
    </row>
    <row r="9">
      <c r="A9" s="8" t="inlineStr">
        <is>
          <t>Stripe fee</t>
        </is>
      </c>
      <c r="B9" s="34" t="inlineStr">
        <is>
          <t>2.9% + $0.30/tx</t>
        </is>
      </c>
      <c r="C9" s="8" t="inlineStr"/>
      <c r="D9" s="8" t="inlineStr"/>
      <c r="E9" s="8" t="inlineStr"/>
      <c r="F9" s="8" t="inlineStr">
        <is>
          <t>ElevenLabs Pro ceiling</t>
        </is>
      </c>
      <c r="G9" s="34" t="inlineStr">
        <is>
          <t>7 active users</t>
        </is>
      </c>
      <c r="H9" s="8" t="inlineStr"/>
      <c r="I9" s="8" t="inlineStr"/>
      <c r="J9" s="8" t="inlineStr"/>
    </row>
    <row r="12">
      <c r="A12" s="36" t="inlineStr">
        <is>
          <t>SCENARIO A — Personal Pro Only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7" t="inlineStr">
        <is>
          <t>PP Subs</t>
        </is>
      </c>
      <c r="B13" s="37" t="inlineStr">
        <is>
          <t>Revenue</t>
        </is>
      </c>
      <c r="C13" s="37" t="inlineStr">
        <is>
          <t>EL Cost</t>
        </is>
      </c>
      <c r="D13" s="37" t="inlineStr">
        <is>
          <t>EL Plan</t>
        </is>
      </c>
      <c r="E13" s="37" t="inlineStr">
        <is>
          <t>Fixed</t>
        </is>
      </c>
      <c r="F13" s="37" t="inlineStr">
        <is>
          <t>Stripe</t>
        </is>
      </c>
      <c r="G13" s="37" t="inlineStr">
        <is>
          <t>Total Cost</t>
        </is>
      </c>
      <c r="H13" s="37" t="inlineStr">
        <is>
          <t>Profit/Loss</t>
        </is>
      </c>
      <c r="I13" s="37" t="inlineStr">
        <is>
          <t>Margin %</t>
        </is>
      </c>
      <c r="J13" s="37" t="inlineStr">
        <is>
          <t>Break-Even?</t>
        </is>
      </c>
    </row>
    <row r="14">
      <c r="A14" s="38" t="n">
        <v>1</v>
      </c>
      <c r="B14" s="39" t="n">
        <v>20</v>
      </c>
      <c r="C14" s="39" t="n">
        <v>99</v>
      </c>
      <c r="D14" s="40" t="inlineStr">
        <is>
          <t>Pro</t>
        </is>
      </c>
      <c r="E14" s="39" t="n">
        <v>44</v>
      </c>
      <c r="F14" s="41" t="n">
        <v>0.88</v>
      </c>
      <c r="G14" s="39" t="n">
        <v>143.88</v>
      </c>
      <c r="H14" s="42" t="n">
        <v>-123.88</v>
      </c>
      <c r="I14" s="43" t="n">
        <v>-6.194</v>
      </c>
      <c r="J14" s="40" t="inlineStr">
        <is>
          <t>LOSS</t>
        </is>
      </c>
    </row>
    <row r="15">
      <c r="A15" s="44" t="n">
        <v>2</v>
      </c>
      <c r="B15" s="45" t="n">
        <v>40</v>
      </c>
      <c r="C15" s="45" t="n">
        <v>99</v>
      </c>
      <c r="D15" s="46" t="inlineStr">
        <is>
          <t>Pro</t>
        </is>
      </c>
      <c r="E15" s="45" t="n">
        <v>44</v>
      </c>
      <c r="F15" s="47" t="n">
        <v>1.76</v>
      </c>
      <c r="G15" s="45" t="n">
        <v>144.76</v>
      </c>
      <c r="H15" s="48" t="n">
        <v>-104.76</v>
      </c>
      <c r="I15" s="49" t="n">
        <v>-2.619</v>
      </c>
      <c r="J15" s="46" t="inlineStr">
        <is>
          <t>LOSS</t>
        </is>
      </c>
    </row>
    <row r="16">
      <c r="A16" s="38" t="n">
        <v>3</v>
      </c>
      <c r="B16" s="39" t="n">
        <v>60</v>
      </c>
      <c r="C16" s="39" t="n">
        <v>99</v>
      </c>
      <c r="D16" s="40" t="inlineStr">
        <is>
          <t>Pro</t>
        </is>
      </c>
      <c r="E16" s="39" t="n">
        <v>44</v>
      </c>
      <c r="F16" s="41" t="n">
        <v>2.64</v>
      </c>
      <c r="G16" s="39" t="n">
        <v>145.64</v>
      </c>
      <c r="H16" s="42" t="n">
        <v>-85.64</v>
      </c>
      <c r="I16" s="43" t="n">
        <v>-1.427333333333333</v>
      </c>
      <c r="J16" s="40" t="inlineStr">
        <is>
          <t>LOSS</t>
        </is>
      </c>
    </row>
    <row r="17">
      <c r="A17" s="44" t="n">
        <v>5</v>
      </c>
      <c r="B17" s="45" t="n">
        <v>100</v>
      </c>
      <c r="C17" s="45" t="n">
        <v>99</v>
      </c>
      <c r="D17" s="46" t="inlineStr">
        <is>
          <t>Pro</t>
        </is>
      </c>
      <c r="E17" s="45" t="n">
        <v>44</v>
      </c>
      <c r="F17" s="47" t="n">
        <v>4.4</v>
      </c>
      <c r="G17" s="45" t="n">
        <v>147.4</v>
      </c>
      <c r="H17" s="48" t="n">
        <v>-47.4</v>
      </c>
      <c r="I17" s="49" t="n">
        <v>-0.474</v>
      </c>
      <c r="J17" s="46" t="inlineStr">
        <is>
          <t>LOSS</t>
        </is>
      </c>
    </row>
    <row r="18">
      <c r="A18" s="50" t="n">
        <v>7</v>
      </c>
      <c r="B18" s="51" t="n">
        <v>140</v>
      </c>
      <c r="C18" s="51" t="n">
        <v>99</v>
      </c>
      <c r="D18" s="52" t="inlineStr">
        <is>
          <t>Pro</t>
        </is>
      </c>
      <c r="E18" s="51" t="n">
        <v>44</v>
      </c>
      <c r="F18" s="53" t="n">
        <v>6.16</v>
      </c>
      <c r="G18" s="51" t="n">
        <v>149.16</v>
      </c>
      <c r="H18" s="54" t="n">
        <v>-9.16</v>
      </c>
      <c r="I18" s="55" t="n">
        <v>-0.06542857142857141</v>
      </c>
      <c r="J18" s="52" t="inlineStr">
        <is>
          <t>≈ EVEN</t>
        </is>
      </c>
    </row>
    <row r="19">
      <c r="A19" s="44" t="n">
        <v>8</v>
      </c>
      <c r="B19" s="45" t="n">
        <v>160</v>
      </c>
      <c r="C19" s="45" t="n">
        <v>330</v>
      </c>
      <c r="D19" s="46" t="inlineStr">
        <is>
          <t>Scale</t>
        </is>
      </c>
      <c r="E19" s="45" t="n">
        <v>44</v>
      </c>
      <c r="F19" s="47" t="n">
        <v>7.04</v>
      </c>
      <c r="G19" s="45" t="n">
        <v>381.04</v>
      </c>
      <c r="H19" s="48" t="n">
        <v>-221.04</v>
      </c>
      <c r="I19" s="49" t="n">
        <v>-1.3815</v>
      </c>
      <c r="J19" s="46" t="inlineStr">
        <is>
          <t>LOSS</t>
        </is>
      </c>
    </row>
    <row r="20">
      <c r="A20" s="38" t="n">
        <v>10</v>
      </c>
      <c r="B20" s="39" t="n">
        <v>200</v>
      </c>
      <c r="C20" s="39" t="n">
        <v>330</v>
      </c>
      <c r="D20" s="40" t="inlineStr">
        <is>
          <t>Scale</t>
        </is>
      </c>
      <c r="E20" s="39" t="n">
        <v>44</v>
      </c>
      <c r="F20" s="41" t="n">
        <v>8.800000000000001</v>
      </c>
      <c r="G20" s="39" t="n">
        <v>382.8</v>
      </c>
      <c r="H20" s="42" t="n">
        <v>-182.8</v>
      </c>
      <c r="I20" s="43" t="n">
        <v>-0.914</v>
      </c>
      <c r="J20" s="40" t="inlineStr">
        <is>
          <t>LOSS</t>
        </is>
      </c>
    </row>
    <row r="21">
      <c r="A21" s="44" t="n">
        <v>12</v>
      </c>
      <c r="B21" s="45" t="n">
        <v>240</v>
      </c>
      <c r="C21" s="45" t="n">
        <v>330</v>
      </c>
      <c r="D21" s="46" t="inlineStr">
        <is>
          <t>Scale</t>
        </is>
      </c>
      <c r="E21" s="45" t="n">
        <v>44</v>
      </c>
      <c r="F21" s="47" t="n">
        <v>10.56</v>
      </c>
      <c r="G21" s="45" t="n">
        <v>384.56</v>
      </c>
      <c r="H21" s="48" t="n">
        <v>-144.56</v>
      </c>
      <c r="I21" s="49" t="n">
        <v>-0.6023333333333334</v>
      </c>
      <c r="J21" s="46" t="inlineStr">
        <is>
          <t>LOSS</t>
        </is>
      </c>
    </row>
    <row r="22">
      <c r="A22" s="38" t="n">
        <v>15</v>
      </c>
      <c r="B22" s="39" t="n">
        <v>300</v>
      </c>
      <c r="C22" s="39" t="n">
        <v>330</v>
      </c>
      <c r="D22" s="40" t="inlineStr">
        <is>
          <t>Scale</t>
        </is>
      </c>
      <c r="E22" s="39" t="n">
        <v>44</v>
      </c>
      <c r="F22" s="41" t="n">
        <v>13.2</v>
      </c>
      <c r="G22" s="39" t="n">
        <v>387.2</v>
      </c>
      <c r="H22" s="42" t="n">
        <v>-87.2</v>
      </c>
      <c r="I22" s="43" t="n">
        <v>-0.2906666666666666</v>
      </c>
      <c r="J22" s="40" t="inlineStr">
        <is>
          <t>LOSS</t>
        </is>
      </c>
    </row>
    <row r="23">
      <c r="A23" s="56" t="n">
        <v>20</v>
      </c>
      <c r="B23" s="57" t="n">
        <v>400</v>
      </c>
      <c r="C23" s="57" t="n">
        <v>330</v>
      </c>
      <c r="D23" s="58" t="inlineStr">
        <is>
          <t>Scale</t>
        </is>
      </c>
      <c r="E23" s="57" t="n">
        <v>44</v>
      </c>
      <c r="F23" s="59" t="n">
        <v>17.6</v>
      </c>
      <c r="G23" s="57" t="n">
        <v>391.6</v>
      </c>
      <c r="H23" s="60" t="n">
        <v>8.4</v>
      </c>
      <c r="I23" s="61" t="n">
        <v>0.02099999999999994</v>
      </c>
      <c r="J23" s="58" t="inlineStr">
        <is>
          <t>✓ PROFIT</t>
        </is>
      </c>
    </row>
    <row r="24">
      <c r="A24" s="56" t="n">
        <v>25</v>
      </c>
      <c r="B24" s="57" t="n">
        <v>500</v>
      </c>
      <c r="C24" s="57" t="n">
        <v>330</v>
      </c>
      <c r="D24" s="58" t="inlineStr">
        <is>
          <t>Scale</t>
        </is>
      </c>
      <c r="E24" s="57" t="n">
        <v>44</v>
      </c>
      <c r="F24" s="59" t="n">
        <v>22</v>
      </c>
      <c r="G24" s="57" t="n">
        <v>396</v>
      </c>
      <c r="H24" s="60" t="n">
        <v>104</v>
      </c>
      <c r="I24" s="61" t="n">
        <v>0.208</v>
      </c>
      <c r="J24" s="58" t="inlineStr">
        <is>
          <t>✓ PROFIT</t>
        </is>
      </c>
    </row>
    <row r="25">
      <c r="A25" s="56" t="n">
        <v>28</v>
      </c>
      <c r="B25" s="57" t="n">
        <v>560</v>
      </c>
      <c r="C25" s="57" t="n">
        <v>330</v>
      </c>
      <c r="D25" s="58" t="inlineStr">
        <is>
          <t>Scale</t>
        </is>
      </c>
      <c r="E25" s="57" t="n">
        <v>44</v>
      </c>
      <c r="F25" s="59" t="n">
        <v>24.64</v>
      </c>
      <c r="G25" s="57" t="n">
        <v>398.64</v>
      </c>
      <c r="H25" s="60" t="n">
        <v>161.36</v>
      </c>
      <c r="I25" s="61" t="n">
        <v>0.2881428571428571</v>
      </c>
      <c r="J25" s="58" t="inlineStr">
        <is>
          <t>✓ PROFIT</t>
        </is>
      </c>
    </row>
    <row r="26">
      <c r="A26" s="38" t="n">
        <v>29</v>
      </c>
      <c r="B26" s="39" t="n">
        <v>580</v>
      </c>
      <c r="C26" s="39" t="n">
        <v>1320</v>
      </c>
      <c r="D26" s="40" t="inlineStr">
        <is>
          <t>Business</t>
        </is>
      </c>
      <c r="E26" s="39" t="n">
        <v>44</v>
      </c>
      <c r="F26" s="41" t="n">
        <v>25.52</v>
      </c>
      <c r="G26" s="39" t="n">
        <v>1389.52</v>
      </c>
      <c r="H26" s="42" t="n">
        <v>-809.52</v>
      </c>
      <c r="I26" s="43" t="n">
        <v>-1.395724137931035</v>
      </c>
      <c r="J26" s="40" t="inlineStr">
        <is>
          <t>LOSS</t>
        </is>
      </c>
    </row>
    <row r="27">
      <c r="A27" s="44" t="n">
        <v>30</v>
      </c>
      <c r="B27" s="45" t="n">
        <v>600</v>
      </c>
      <c r="C27" s="45" t="n">
        <v>1320</v>
      </c>
      <c r="D27" s="46" t="inlineStr">
        <is>
          <t>Business</t>
        </is>
      </c>
      <c r="E27" s="45" t="n">
        <v>44</v>
      </c>
      <c r="F27" s="47" t="n">
        <v>26.4</v>
      </c>
      <c r="G27" s="45" t="n">
        <v>1390.4</v>
      </c>
      <c r="H27" s="48" t="n">
        <v>-790.4</v>
      </c>
      <c r="I27" s="49" t="n">
        <v>-1.317333333333333</v>
      </c>
      <c r="J27" s="46" t="inlineStr">
        <is>
          <t>LOSS</t>
        </is>
      </c>
    </row>
    <row r="28">
      <c r="A28" s="38" t="n">
        <v>35</v>
      </c>
      <c r="B28" s="39" t="n">
        <v>700</v>
      </c>
      <c r="C28" s="39" t="n">
        <v>1320</v>
      </c>
      <c r="D28" s="40" t="inlineStr">
        <is>
          <t>Business</t>
        </is>
      </c>
      <c r="E28" s="39" t="n">
        <v>44</v>
      </c>
      <c r="F28" s="41" t="n">
        <v>30.8</v>
      </c>
      <c r="G28" s="39" t="n">
        <v>1394.8</v>
      </c>
      <c r="H28" s="42" t="n">
        <v>-694.8</v>
      </c>
      <c r="I28" s="43" t="n">
        <v>-0.9925714285714285</v>
      </c>
      <c r="J28" s="40" t="inlineStr">
        <is>
          <t>LOSS</t>
        </is>
      </c>
    </row>
    <row r="29">
      <c r="A29" s="44" t="n">
        <v>40</v>
      </c>
      <c r="B29" s="45" t="n">
        <v>800</v>
      </c>
      <c r="C29" s="45" t="n">
        <v>1320</v>
      </c>
      <c r="D29" s="46" t="inlineStr">
        <is>
          <t>Business</t>
        </is>
      </c>
      <c r="E29" s="45" t="n">
        <v>44</v>
      </c>
      <c r="F29" s="47" t="n">
        <v>35.2</v>
      </c>
      <c r="G29" s="45" t="n">
        <v>1399.2</v>
      </c>
      <c r="H29" s="48" t="n">
        <v>-599.2</v>
      </c>
      <c r="I29" s="49" t="n">
        <v>-0.7490000000000001</v>
      </c>
      <c r="J29" s="46" t="inlineStr">
        <is>
          <t>LOSS</t>
        </is>
      </c>
    </row>
    <row r="30">
      <c r="A30" s="38" t="n">
        <v>50</v>
      </c>
      <c r="B30" s="39" t="n">
        <v>1000</v>
      </c>
      <c r="C30" s="39" t="n">
        <v>1320</v>
      </c>
      <c r="D30" s="40" t="inlineStr">
        <is>
          <t>Business</t>
        </is>
      </c>
      <c r="E30" s="39" t="n">
        <v>44</v>
      </c>
      <c r="F30" s="41" t="n">
        <v>44</v>
      </c>
      <c r="G30" s="39" t="n">
        <v>1408</v>
      </c>
      <c r="H30" s="42" t="n">
        <v>-408</v>
      </c>
      <c r="I30" s="43" t="n">
        <v>-0.408</v>
      </c>
      <c r="J30" s="40" t="inlineStr">
        <is>
          <t>LOSS</t>
        </is>
      </c>
    </row>
    <row r="31">
      <c r="A31" s="56" t="n">
        <v>75</v>
      </c>
      <c r="B31" s="57" t="n">
        <v>1500</v>
      </c>
      <c r="C31" s="57" t="n">
        <v>1320</v>
      </c>
      <c r="D31" s="58" t="inlineStr">
        <is>
          <t>Business</t>
        </is>
      </c>
      <c r="E31" s="57" t="n">
        <v>44</v>
      </c>
      <c r="F31" s="59" t="n">
        <v>66</v>
      </c>
      <c r="G31" s="57" t="n">
        <v>1430</v>
      </c>
      <c r="H31" s="60" t="n">
        <v>70</v>
      </c>
      <c r="I31" s="61" t="n">
        <v>0.04666666666666667</v>
      </c>
      <c r="J31" s="58" t="inlineStr">
        <is>
          <t>✓ PROFIT</t>
        </is>
      </c>
    </row>
    <row r="32">
      <c r="A32" s="56" t="n">
        <v>100</v>
      </c>
      <c r="B32" s="57" t="n">
        <v>2000</v>
      </c>
      <c r="C32" s="57" t="n">
        <v>1320</v>
      </c>
      <c r="D32" s="58" t="inlineStr">
        <is>
          <t>Business</t>
        </is>
      </c>
      <c r="E32" s="57" t="n">
        <v>44</v>
      </c>
      <c r="F32" s="59" t="n">
        <v>88</v>
      </c>
      <c r="G32" s="57" t="n">
        <v>1452</v>
      </c>
      <c r="H32" s="60" t="n">
        <v>548</v>
      </c>
      <c r="I32" s="61" t="n">
        <v>0.274</v>
      </c>
      <c r="J32" s="58" t="inlineStr">
        <is>
          <t>✓ PROFIT</t>
        </is>
      </c>
    </row>
    <row r="34">
      <c r="A34" s="62" t="inlineStr">
        <is>
          <t>SCENARIO B — Church Starter Only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63" t="inlineStr">
        <is>
          <t>CS Churches</t>
        </is>
      </c>
      <c r="B35" s="63" t="inlineStr">
        <is>
          <t>Revenue</t>
        </is>
      </c>
      <c r="C35" s="63" t="inlineStr">
        <is>
          <t>EL Cost</t>
        </is>
      </c>
      <c r="D35" s="63" t="inlineStr">
        <is>
          <t>EL Plan</t>
        </is>
      </c>
      <c r="E35" s="63" t="inlineStr">
        <is>
          <t>Fixed</t>
        </is>
      </c>
      <c r="F35" s="63" t="inlineStr">
        <is>
          <t>Stripe</t>
        </is>
      </c>
      <c r="G35" s="63" t="inlineStr">
        <is>
          <t>Total Cost</t>
        </is>
      </c>
      <c r="H35" s="63" t="inlineStr">
        <is>
          <t>Profit/Loss</t>
        </is>
      </c>
      <c r="I35" s="63" t="inlineStr">
        <is>
          <t>Margin %</t>
        </is>
      </c>
      <c r="J35" s="63" t="inlineStr">
        <is>
          <t>Break-Even?</t>
        </is>
      </c>
    </row>
    <row r="36">
      <c r="A36" s="56" t="n">
        <v>1</v>
      </c>
      <c r="B36" s="57" t="n">
        <v>149</v>
      </c>
      <c r="C36" s="57" t="n">
        <v>99</v>
      </c>
      <c r="D36" s="58" t="inlineStr">
        <is>
          <t>Pro</t>
        </is>
      </c>
      <c r="E36" s="57" t="n">
        <v>44</v>
      </c>
      <c r="F36" s="59" t="n">
        <v>4.62</v>
      </c>
      <c r="G36" s="57" t="n">
        <v>147.62</v>
      </c>
      <c r="H36" s="60" t="n">
        <v>1.38</v>
      </c>
      <c r="I36" s="61" t="n">
        <v>0.009255033557046917</v>
      </c>
      <c r="J36" s="58" t="inlineStr">
        <is>
          <t>✓ PROFIT</t>
        </is>
      </c>
    </row>
    <row r="37">
      <c r="A37" s="44" t="n">
        <v>2</v>
      </c>
      <c r="B37" s="45" t="n">
        <v>298</v>
      </c>
      <c r="C37" s="45" t="n">
        <v>330</v>
      </c>
      <c r="D37" s="46" t="inlineStr">
        <is>
          <t>Scale</t>
        </is>
      </c>
      <c r="E37" s="45" t="n">
        <v>44</v>
      </c>
      <c r="F37" s="47" t="n">
        <v>9.24</v>
      </c>
      <c r="G37" s="45" t="n">
        <v>383.24</v>
      </c>
      <c r="H37" s="48" t="n">
        <v>-85.23999999999999</v>
      </c>
      <c r="I37" s="49" t="n">
        <v>-0.2860469798657719</v>
      </c>
      <c r="J37" s="46" t="inlineStr">
        <is>
          <t>LOSS</t>
        </is>
      </c>
    </row>
    <row r="38">
      <c r="A38" s="56" t="n">
        <v>3</v>
      </c>
      <c r="B38" s="57" t="n">
        <v>447</v>
      </c>
      <c r="C38" s="57" t="n">
        <v>330</v>
      </c>
      <c r="D38" s="58" t="inlineStr">
        <is>
          <t>Scale</t>
        </is>
      </c>
      <c r="E38" s="57" t="n">
        <v>44</v>
      </c>
      <c r="F38" s="59" t="n">
        <v>13.86</v>
      </c>
      <c r="G38" s="57" t="n">
        <v>387.86</v>
      </c>
      <c r="H38" s="60" t="n">
        <v>59.14</v>
      </c>
      <c r="I38" s="61" t="n">
        <v>0.1322975391498881</v>
      </c>
      <c r="J38" s="58" t="inlineStr">
        <is>
          <t>✓ PROFIT</t>
        </is>
      </c>
    </row>
    <row r="39">
      <c r="A39" s="56" t="n">
        <v>4</v>
      </c>
      <c r="B39" s="57" t="n">
        <v>596</v>
      </c>
      <c r="C39" s="57" t="n">
        <v>330</v>
      </c>
      <c r="D39" s="58" t="inlineStr">
        <is>
          <t>Scale</t>
        </is>
      </c>
      <c r="E39" s="57" t="n">
        <v>44</v>
      </c>
      <c r="F39" s="59" t="n">
        <v>18.48</v>
      </c>
      <c r="G39" s="57" t="n">
        <v>392.48</v>
      </c>
      <c r="H39" s="60" t="n">
        <v>203.52</v>
      </c>
      <c r="I39" s="61" t="n">
        <v>0.3414697986577181</v>
      </c>
      <c r="J39" s="58" t="inlineStr">
        <is>
          <t>✓ PROFIT</t>
        </is>
      </c>
    </row>
    <row r="40">
      <c r="A40" s="56" t="n">
        <v>5</v>
      </c>
      <c r="B40" s="57" t="n">
        <v>745</v>
      </c>
      <c r="C40" s="57" t="n">
        <v>330</v>
      </c>
      <c r="D40" s="58" t="inlineStr">
        <is>
          <t>Scale</t>
        </is>
      </c>
      <c r="E40" s="57" t="n">
        <v>44</v>
      </c>
      <c r="F40" s="59" t="n">
        <v>23.11</v>
      </c>
      <c r="G40" s="57" t="n">
        <v>397.11</v>
      </c>
      <c r="H40" s="60" t="n">
        <v>347.89</v>
      </c>
      <c r="I40" s="61" t="n">
        <v>0.4669731543624161</v>
      </c>
      <c r="J40" s="58" t="inlineStr">
        <is>
          <t>✓ PROFIT</t>
        </is>
      </c>
    </row>
    <row r="41">
      <c r="A41" s="44" t="n">
        <v>6</v>
      </c>
      <c r="B41" s="45" t="n">
        <v>894</v>
      </c>
      <c r="C41" s="45" t="n">
        <v>1320</v>
      </c>
      <c r="D41" s="46" t="inlineStr">
        <is>
          <t>Business</t>
        </is>
      </c>
      <c r="E41" s="45" t="n">
        <v>44</v>
      </c>
      <c r="F41" s="47" t="n">
        <v>27.73</v>
      </c>
      <c r="G41" s="45" t="n">
        <v>1391.73</v>
      </c>
      <c r="H41" s="48" t="n">
        <v>-497.73</v>
      </c>
      <c r="I41" s="49" t="n">
        <v>-0.5567404921700225</v>
      </c>
      <c r="J41" s="46" t="inlineStr">
        <is>
          <t>LOSS</t>
        </is>
      </c>
    </row>
    <row r="42">
      <c r="A42" s="38" t="n">
        <v>7</v>
      </c>
      <c r="B42" s="39" t="n">
        <v>1043</v>
      </c>
      <c r="C42" s="39" t="n">
        <v>1320</v>
      </c>
      <c r="D42" s="40" t="inlineStr">
        <is>
          <t>Business</t>
        </is>
      </c>
      <c r="E42" s="39" t="n">
        <v>44</v>
      </c>
      <c r="F42" s="41" t="n">
        <v>32.35</v>
      </c>
      <c r="G42" s="39" t="n">
        <v>1396.35</v>
      </c>
      <c r="H42" s="42" t="n">
        <v>-353.35</v>
      </c>
      <c r="I42" s="43" t="n">
        <v>-0.3387794822627037</v>
      </c>
      <c r="J42" s="40" t="inlineStr">
        <is>
          <t>LOSS</t>
        </is>
      </c>
    </row>
    <row r="43">
      <c r="A43" s="44" t="n">
        <v>8</v>
      </c>
      <c r="B43" s="45" t="n">
        <v>1192</v>
      </c>
      <c r="C43" s="45" t="n">
        <v>1320</v>
      </c>
      <c r="D43" s="46" t="inlineStr">
        <is>
          <t>Business</t>
        </is>
      </c>
      <c r="E43" s="45" t="n">
        <v>44</v>
      </c>
      <c r="F43" s="47" t="n">
        <v>36.97</v>
      </c>
      <c r="G43" s="45" t="n">
        <v>1400.97</v>
      </c>
      <c r="H43" s="48" t="n">
        <v>-208.97</v>
      </c>
      <c r="I43" s="49" t="n">
        <v>-0.1753087248322148</v>
      </c>
      <c r="J43" s="46" t="inlineStr">
        <is>
          <t>LOSS</t>
        </is>
      </c>
    </row>
    <row r="44">
      <c r="A44" s="56" t="n">
        <v>10</v>
      </c>
      <c r="B44" s="57" t="n">
        <v>1490</v>
      </c>
      <c r="C44" s="57" t="n">
        <v>1320</v>
      </c>
      <c r="D44" s="58" t="inlineStr">
        <is>
          <t>Business</t>
        </is>
      </c>
      <c r="E44" s="57" t="n">
        <v>44</v>
      </c>
      <c r="F44" s="59" t="n">
        <v>46.21</v>
      </c>
      <c r="G44" s="57" t="n">
        <v>1410.21</v>
      </c>
      <c r="H44" s="60" t="n">
        <v>79.79000000000001</v>
      </c>
      <c r="I44" s="61" t="n">
        <v>0.05355033557046977</v>
      </c>
      <c r="J44" s="58" t="inlineStr">
        <is>
          <t>✓ PROFIT</t>
        </is>
      </c>
    </row>
    <row r="45">
      <c r="A45" s="56" t="n">
        <v>12</v>
      </c>
      <c r="B45" s="57" t="n">
        <v>1788</v>
      </c>
      <c r="C45" s="57" t="n">
        <v>1320</v>
      </c>
      <c r="D45" s="58" t="inlineStr">
        <is>
          <t>Business</t>
        </is>
      </c>
      <c r="E45" s="57" t="n">
        <v>44</v>
      </c>
      <c r="F45" s="59" t="n">
        <v>55.45</v>
      </c>
      <c r="G45" s="57" t="n">
        <v>1419.45</v>
      </c>
      <c r="H45" s="60" t="n">
        <v>368.55</v>
      </c>
      <c r="I45" s="61" t="n">
        <v>0.2061230425055929</v>
      </c>
      <c r="J45" s="58" t="inlineStr">
        <is>
          <t>✓ PROFIT</t>
        </is>
      </c>
    </row>
    <row r="46">
      <c r="A46" s="56" t="n">
        <v>15</v>
      </c>
      <c r="B46" s="57" t="n">
        <v>2235</v>
      </c>
      <c r="C46" s="57" t="n">
        <v>1320</v>
      </c>
      <c r="D46" s="58" t="inlineStr">
        <is>
          <t>Business</t>
        </is>
      </c>
      <c r="E46" s="57" t="n">
        <v>44</v>
      </c>
      <c r="F46" s="59" t="n">
        <v>69.31</v>
      </c>
      <c r="G46" s="57" t="n">
        <v>1433.32</v>
      </c>
      <c r="H46" s="60" t="n">
        <v>801.6799999999999</v>
      </c>
      <c r="I46" s="61" t="n">
        <v>0.3586957494407159</v>
      </c>
      <c r="J46" s="58" t="inlineStr">
        <is>
          <t>✓ PROFIT</t>
        </is>
      </c>
    </row>
    <row r="47">
      <c r="A47" s="56" t="n">
        <v>20</v>
      </c>
      <c r="B47" s="57" t="n">
        <v>2980</v>
      </c>
      <c r="C47" s="57" t="n">
        <v>1320</v>
      </c>
      <c r="D47" s="58" t="inlineStr">
        <is>
          <t>Business</t>
        </is>
      </c>
      <c r="E47" s="57" t="n">
        <v>44</v>
      </c>
      <c r="F47" s="59" t="n">
        <v>92.42</v>
      </c>
      <c r="G47" s="57" t="n">
        <v>1456.42</v>
      </c>
      <c r="H47" s="60" t="n">
        <v>1523.58</v>
      </c>
      <c r="I47" s="61" t="n">
        <v>0.511268456375839</v>
      </c>
      <c r="J47" s="58" t="inlineStr">
        <is>
          <t>✓ PROFIT</t>
        </is>
      </c>
    </row>
    <row r="48">
      <c r="A48" s="56" t="n">
        <v>25</v>
      </c>
      <c r="B48" s="57" t="n">
        <v>3725</v>
      </c>
      <c r="C48" s="57" t="n">
        <v>1320</v>
      </c>
      <c r="D48" s="58" t="inlineStr">
        <is>
          <t>Business</t>
        </is>
      </c>
      <c r="E48" s="57" t="n">
        <v>44</v>
      </c>
      <c r="F48" s="59" t="n">
        <v>115.53</v>
      </c>
      <c r="G48" s="57" t="n">
        <v>1479.53</v>
      </c>
      <c r="H48" s="60" t="n">
        <v>2245.47</v>
      </c>
      <c r="I48" s="61" t="n">
        <v>0.6028120805369127</v>
      </c>
      <c r="J48" s="58" t="inlineStr">
        <is>
          <t>✓ PROFIT</t>
        </is>
      </c>
    </row>
    <row r="49">
      <c r="A49" s="56" t="n">
        <v>30</v>
      </c>
      <c r="B49" s="57" t="n">
        <v>4470</v>
      </c>
      <c r="C49" s="57" t="n">
        <v>1320</v>
      </c>
      <c r="D49" s="58" t="inlineStr">
        <is>
          <t>Business</t>
        </is>
      </c>
      <c r="E49" s="57" t="n">
        <v>44</v>
      </c>
      <c r="F49" s="59" t="n">
        <v>138.63</v>
      </c>
      <c r="G49" s="57" t="n">
        <v>1502.63</v>
      </c>
      <c r="H49" s="60" t="n">
        <v>2967.37</v>
      </c>
      <c r="I49" s="61" t="n">
        <v>0.663841163310962</v>
      </c>
      <c r="J49" s="58" t="inlineStr">
        <is>
          <t>✓ PROFIT</t>
        </is>
      </c>
    </row>
    <row r="50">
      <c r="A50" s="56" t="n">
        <v>40</v>
      </c>
      <c r="B50" s="57" t="n">
        <v>5960</v>
      </c>
      <c r="C50" s="57" t="n">
        <v>1704</v>
      </c>
      <c r="D50" s="58" t="inlineStr">
        <is>
          <t>Business+</t>
        </is>
      </c>
      <c r="E50" s="57" t="n">
        <v>44</v>
      </c>
      <c r="F50" s="59" t="n">
        <v>184.84</v>
      </c>
      <c r="G50" s="57" t="n">
        <v>1932.84</v>
      </c>
      <c r="H50" s="60" t="n">
        <v>4027.16</v>
      </c>
      <c r="I50" s="61" t="n">
        <v>0.6756979865771812</v>
      </c>
      <c r="J50" s="58" t="inlineStr">
        <is>
          <t>✓ PROFIT</t>
        </is>
      </c>
    </row>
    <row r="51">
      <c r="A51" s="56" t="n">
        <v>50</v>
      </c>
      <c r="B51" s="57" t="n">
        <v>7450</v>
      </c>
      <c r="C51" s="57" t="n">
        <v>2130</v>
      </c>
      <c r="D51" s="58" t="inlineStr">
        <is>
          <t>Business+</t>
        </is>
      </c>
      <c r="E51" s="57" t="n">
        <v>44</v>
      </c>
      <c r="F51" s="59" t="n">
        <v>231.05</v>
      </c>
      <c r="G51" s="57" t="n">
        <v>2405.05</v>
      </c>
      <c r="H51" s="60" t="n">
        <v>5044.95</v>
      </c>
      <c r="I51" s="61" t="n">
        <v>0.6771744966442953</v>
      </c>
      <c r="J51" s="58" t="inlineStr">
        <is>
          <t>✓ PROFIT</t>
        </is>
      </c>
    </row>
    <row r="53">
      <c r="A53" s="64" t="inlineStr">
        <is>
          <t>SCENARIO C — Mixed Model (Churches + Personal Pro, 1:2 ratio)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65" t="inlineStr">
        <is>
          <t>CS Churches</t>
        </is>
      </c>
      <c r="B54" s="65" t="inlineStr">
        <is>
          <t>PP Subs</t>
        </is>
      </c>
      <c r="C54" s="65" t="inlineStr">
        <is>
          <t>Total Revenue</t>
        </is>
      </c>
      <c r="D54" s="65" t="inlineStr">
        <is>
          <t>EL Cost</t>
        </is>
      </c>
      <c r="E54" s="65" t="inlineStr">
        <is>
          <t>EL Plan</t>
        </is>
      </c>
      <c r="F54" s="65" t="inlineStr">
        <is>
          <t>Fixed</t>
        </is>
      </c>
      <c r="G54" s="65" t="inlineStr">
        <is>
          <t>Stripe</t>
        </is>
      </c>
      <c r="H54" s="65" t="inlineStr">
        <is>
          <t>Total Cost</t>
        </is>
      </c>
      <c r="I54" s="65" t="inlineStr">
        <is>
          <t>Profit/Loss</t>
        </is>
      </c>
      <c r="J54" s="65" t="inlineStr">
        <is>
          <t>Break-Even?</t>
        </is>
      </c>
    </row>
    <row r="55">
      <c r="A55" s="56" t="n">
        <v>1</v>
      </c>
      <c r="B55" s="56" t="n">
        <v>2</v>
      </c>
      <c r="C55" s="57" t="n">
        <v>189</v>
      </c>
      <c r="D55" s="57" t="n">
        <v>99</v>
      </c>
      <c r="E55" s="58" t="inlineStr">
        <is>
          <t>Pro</t>
        </is>
      </c>
      <c r="F55" s="57" t="n">
        <v>44</v>
      </c>
      <c r="G55" s="59" t="n">
        <v>6.38</v>
      </c>
      <c r="H55" s="57" t="n">
        <v>149.38</v>
      </c>
      <c r="I55" s="60" t="n">
        <v>39.62</v>
      </c>
      <c r="J55" s="58" t="inlineStr">
        <is>
          <t>✓ PROFIT</t>
        </is>
      </c>
    </row>
    <row r="56">
      <c r="A56" s="50" t="n">
        <v>2</v>
      </c>
      <c r="B56" s="50" t="n">
        <v>4</v>
      </c>
      <c r="C56" s="51" t="n">
        <v>378</v>
      </c>
      <c r="D56" s="51" t="n">
        <v>330</v>
      </c>
      <c r="E56" s="52" t="inlineStr">
        <is>
          <t>Scale</t>
        </is>
      </c>
      <c r="F56" s="51" t="n">
        <v>44</v>
      </c>
      <c r="G56" s="53" t="n">
        <v>12.76</v>
      </c>
      <c r="H56" s="51" t="n">
        <v>386.76</v>
      </c>
      <c r="I56" s="54" t="n">
        <v>-8.76</v>
      </c>
      <c r="J56" s="52" t="inlineStr">
        <is>
          <t>≈ EVEN</t>
        </is>
      </c>
    </row>
    <row r="57">
      <c r="A57" s="56" t="n">
        <v>3</v>
      </c>
      <c r="B57" s="56" t="n">
        <v>6</v>
      </c>
      <c r="C57" s="57" t="n">
        <v>567</v>
      </c>
      <c r="D57" s="57" t="n">
        <v>330</v>
      </c>
      <c r="E57" s="58" t="inlineStr">
        <is>
          <t>Scale</t>
        </is>
      </c>
      <c r="F57" s="57" t="n">
        <v>44</v>
      </c>
      <c r="G57" s="59" t="n">
        <v>19.14</v>
      </c>
      <c r="H57" s="57" t="n">
        <v>393.14</v>
      </c>
      <c r="I57" s="60" t="n">
        <v>173.86</v>
      </c>
      <c r="J57" s="58" t="inlineStr">
        <is>
          <t>✓ PROFIT</t>
        </is>
      </c>
    </row>
    <row r="58">
      <c r="A58" s="56" t="n">
        <v>4</v>
      </c>
      <c r="B58" s="56" t="n">
        <v>8</v>
      </c>
      <c r="C58" s="57" t="n">
        <v>756</v>
      </c>
      <c r="D58" s="57" t="n">
        <v>330</v>
      </c>
      <c r="E58" s="58" t="inlineStr">
        <is>
          <t>Scale</t>
        </is>
      </c>
      <c r="F58" s="57" t="n">
        <v>44</v>
      </c>
      <c r="G58" s="59" t="n">
        <v>25.52</v>
      </c>
      <c r="H58" s="57" t="n">
        <v>399.52</v>
      </c>
      <c r="I58" s="60" t="n">
        <v>356.48</v>
      </c>
      <c r="J58" s="58" t="inlineStr">
        <is>
          <t>✓ PROFIT</t>
        </is>
      </c>
    </row>
    <row r="59">
      <c r="A59" s="44" t="n">
        <v>5</v>
      </c>
      <c r="B59" s="44" t="n">
        <v>10</v>
      </c>
      <c r="C59" s="45" t="n">
        <v>945</v>
      </c>
      <c r="D59" s="45" t="n">
        <v>1320</v>
      </c>
      <c r="E59" s="46" t="inlineStr">
        <is>
          <t>Business</t>
        </is>
      </c>
      <c r="F59" s="45" t="n">
        <v>44</v>
      </c>
      <c r="G59" s="47" t="n">
        <v>31.91</v>
      </c>
      <c r="H59" s="45" t="n">
        <v>1395.9</v>
      </c>
      <c r="I59" s="48" t="n">
        <v>-450.9</v>
      </c>
      <c r="J59" s="46" t="inlineStr">
        <is>
          <t>LOSS</t>
        </is>
      </c>
    </row>
    <row r="60">
      <c r="A60" s="38" t="n">
        <v>6</v>
      </c>
      <c r="B60" s="38" t="n">
        <v>12</v>
      </c>
      <c r="C60" s="39" t="n">
        <v>1134</v>
      </c>
      <c r="D60" s="39" t="n">
        <v>1320</v>
      </c>
      <c r="E60" s="40" t="inlineStr">
        <is>
          <t>Business</t>
        </is>
      </c>
      <c r="F60" s="39" t="n">
        <v>44</v>
      </c>
      <c r="G60" s="41" t="n">
        <v>38.29</v>
      </c>
      <c r="H60" s="39" t="n">
        <v>1402.29</v>
      </c>
      <c r="I60" s="42" t="n">
        <v>-268.29</v>
      </c>
      <c r="J60" s="40" t="inlineStr">
        <is>
          <t>LOSS</t>
        </is>
      </c>
    </row>
    <row r="61">
      <c r="A61" s="44" t="n">
        <v>7</v>
      </c>
      <c r="B61" s="44" t="n">
        <v>14</v>
      </c>
      <c r="C61" s="45" t="n">
        <v>1323</v>
      </c>
      <c r="D61" s="45" t="n">
        <v>1320</v>
      </c>
      <c r="E61" s="46" t="inlineStr">
        <is>
          <t>Business</t>
        </is>
      </c>
      <c r="F61" s="45" t="n">
        <v>44</v>
      </c>
      <c r="G61" s="47" t="n">
        <v>44.67</v>
      </c>
      <c r="H61" s="45" t="n">
        <v>1408.67</v>
      </c>
      <c r="I61" s="48" t="n">
        <v>-85.67</v>
      </c>
      <c r="J61" s="46" t="inlineStr">
        <is>
          <t>LOSS</t>
        </is>
      </c>
    </row>
    <row r="62">
      <c r="A62" s="56" t="n">
        <v>8</v>
      </c>
      <c r="B62" s="56" t="n">
        <v>16</v>
      </c>
      <c r="C62" s="57" t="n">
        <v>1512</v>
      </c>
      <c r="D62" s="57" t="n">
        <v>1320</v>
      </c>
      <c r="E62" s="58" t="inlineStr">
        <is>
          <t>Business</t>
        </is>
      </c>
      <c r="F62" s="57" t="n">
        <v>44</v>
      </c>
      <c r="G62" s="59" t="n">
        <v>51.05</v>
      </c>
      <c r="H62" s="57" t="n">
        <v>1415.05</v>
      </c>
      <c r="I62" s="60" t="n">
        <v>96.95</v>
      </c>
      <c r="J62" s="58" t="inlineStr">
        <is>
          <t>✓ PROFIT</t>
        </is>
      </c>
    </row>
    <row r="63">
      <c r="A63" s="56" t="n">
        <v>10</v>
      </c>
      <c r="B63" s="56" t="n">
        <v>20</v>
      </c>
      <c r="C63" s="57" t="n">
        <v>1890</v>
      </c>
      <c r="D63" s="57" t="n">
        <v>1320</v>
      </c>
      <c r="E63" s="58" t="inlineStr">
        <is>
          <t>Business</t>
        </is>
      </c>
      <c r="F63" s="57" t="n">
        <v>44</v>
      </c>
      <c r="G63" s="59" t="n">
        <v>63.81</v>
      </c>
      <c r="H63" s="57" t="n">
        <v>1427.81</v>
      </c>
      <c r="I63" s="60" t="n">
        <v>462.19</v>
      </c>
      <c r="J63" s="58" t="inlineStr">
        <is>
          <t>✓ PROFIT</t>
        </is>
      </c>
    </row>
    <row r="64">
      <c r="A64" s="56" t="n">
        <v>12</v>
      </c>
      <c r="B64" s="56" t="n">
        <v>24</v>
      </c>
      <c r="C64" s="57" t="n">
        <v>2268</v>
      </c>
      <c r="D64" s="57" t="n">
        <v>1320</v>
      </c>
      <c r="E64" s="58" t="inlineStr">
        <is>
          <t>Business</t>
        </is>
      </c>
      <c r="F64" s="57" t="n">
        <v>44</v>
      </c>
      <c r="G64" s="59" t="n">
        <v>76.56999999999999</v>
      </c>
      <c r="H64" s="57" t="n">
        <v>1440.57</v>
      </c>
      <c r="I64" s="60" t="n">
        <v>827.4299999999999</v>
      </c>
      <c r="J64" s="58" t="inlineStr">
        <is>
          <t>✓ PROFIT</t>
        </is>
      </c>
    </row>
    <row r="65">
      <c r="A65" s="56" t="n">
        <v>15</v>
      </c>
      <c r="B65" s="56" t="n">
        <v>30</v>
      </c>
      <c r="C65" s="57" t="n">
        <v>2835</v>
      </c>
      <c r="D65" s="57" t="n">
        <v>1320</v>
      </c>
      <c r="E65" s="58" t="inlineStr">
        <is>
          <t>Business</t>
        </is>
      </c>
      <c r="F65" s="57" t="n">
        <v>44</v>
      </c>
      <c r="G65" s="59" t="n">
        <v>95.72</v>
      </c>
      <c r="H65" s="57" t="n">
        <v>1459.71</v>
      </c>
      <c r="I65" s="60" t="n">
        <v>1375.29</v>
      </c>
      <c r="J65" s="58" t="inlineStr">
        <is>
          <t>✓ PROFIT</t>
        </is>
      </c>
    </row>
    <row r="66">
      <c r="A66" s="56" t="n">
        <v>20</v>
      </c>
      <c r="B66" s="56" t="n">
        <v>40</v>
      </c>
      <c r="C66" s="57" t="n">
        <v>3780</v>
      </c>
      <c r="D66" s="57" t="n">
        <v>1320</v>
      </c>
      <c r="E66" s="58" t="inlineStr">
        <is>
          <t>Business</t>
        </is>
      </c>
      <c r="F66" s="57" t="n">
        <v>44</v>
      </c>
      <c r="G66" s="59" t="n">
        <v>127.62</v>
      </c>
      <c r="H66" s="57" t="n">
        <v>1491.62</v>
      </c>
      <c r="I66" s="60" t="n">
        <v>2288.38</v>
      </c>
      <c r="J66" s="58" t="inlineStr">
        <is>
          <t>✓ PROFIT</t>
        </is>
      </c>
    </row>
    <row r="67">
      <c r="A67" s="56" t="n">
        <v>25</v>
      </c>
      <c r="B67" s="56" t="n">
        <v>50</v>
      </c>
      <c r="C67" s="57" t="n">
        <v>4725</v>
      </c>
      <c r="D67" s="57" t="n">
        <v>1491</v>
      </c>
      <c r="E67" s="58" t="inlineStr">
        <is>
          <t>Business+</t>
        </is>
      </c>
      <c r="F67" s="57" t="n">
        <v>44</v>
      </c>
      <c r="G67" s="59" t="n">
        <v>159.53</v>
      </c>
      <c r="H67" s="57" t="n">
        <v>1694.53</v>
      </c>
      <c r="I67" s="60" t="n">
        <v>3030.47</v>
      </c>
      <c r="J67" s="58" t="inlineStr">
        <is>
          <t>✓ PROFIT</t>
        </is>
      </c>
    </row>
    <row r="68">
      <c r="A68" s="56" t="n">
        <v>30</v>
      </c>
      <c r="B68" s="56" t="n">
        <v>60</v>
      </c>
      <c r="C68" s="57" t="n">
        <v>5670</v>
      </c>
      <c r="D68" s="57" t="n">
        <v>1789.2</v>
      </c>
      <c r="E68" s="58" t="inlineStr">
        <is>
          <t>Business+</t>
        </is>
      </c>
      <c r="F68" s="57" t="n">
        <v>44</v>
      </c>
      <c r="G68" s="59" t="n">
        <v>191.43</v>
      </c>
      <c r="H68" s="57" t="n">
        <v>2024.63</v>
      </c>
      <c r="I68" s="60" t="n">
        <v>3645.37</v>
      </c>
      <c r="J68" s="58" t="inlineStr">
        <is>
          <t>✓ PROFIT</t>
        </is>
      </c>
    </row>
    <row r="69">
      <c r="A69" s="56" t="n">
        <v>40</v>
      </c>
      <c r="B69" s="56" t="n">
        <v>80</v>
      </c>
      <c r="C69" s="57" t="n">
        <v>7560</v>
      </c>
      <c r="D69" s="57" t="n">
        <v>2385.6</v>
      </c>
      <c r="E69" s="58" t="inlineStr">
        <is>
          <t>Business+</t>
        </is>
      </c>
      <c r="F69" s="57" t="n">
        <v>44</v>
      </c>
      <c r="G69" s="59" t="n">
        <v>255.24</v>
      </c>
      <c r="H69" s="57" t="n">
        <v>2684.84</v>
      </c>
      <c r="I69" s="60" t="n">
        <v>4875.16</v>
      </c>
      <c r="J69" s="58" t="inlineStr">
        <is>
          <t>✓ PROFIT</t>
        </is>
      </c>
    </row>
    <row r="70">
      <c r="A70" s="56" t="n">
        <v>50</v>
      </c>
      <c r="B70" s="56" t="n">
        <v>100</v>
      </c>
      <c r="C70" s="57" t="n">
        <v>9450</v>
      </c>
      <c r="D70" s="57" t="n">
        <v>2982</v>
      </c>
      <c r="E70" s="58" t="inlineStr">
        <is>
          <t>Business+</t>
        </is>
      </c>
      <c r="F70" s="57" t="n">
        <v>44</v>
      </c>
      <c r="G70" s="59" t="n">
        <v>319.05</v>
      </c>
      <c r="H70" s="57" t="n">
        <v>3345.05</v>
      </c>
      <c r="I70" s="60" t="n">
        <v>6104.95</v>
      </c>
      <c r="J70" s="58" t="inlineStr">
        <is>
          <t>✓ PROFIT</t>
        </is>
      </c>
    </row>
  </sheetData>
  <mergeCells count="7">
    <mergeCell ref="A1:J1"/>
    <mergeCell ref="A4:E4"/>
    <mergeCell ref="A3:J3"/>
    <mergeCell ref="A53:J53"/>
    <mergeCell ref="A34:J34"/>
    <mergeCell ref="A12:J12"/>
    <mergeCell ref="F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36" customHeight="1">
      <c r="A1" s="66" t="inlineStr">
        <is>
          <t>Profit/Loss Matrix — Church Starter × Personal Pro Combinations</t>
        </is>
      </c>
    </row>
    <row r="2">
      <c r="A2" s="67" t="inlineStr">
        <is>
          <t>Green = Profitable | Yellow = Near Break-Even (±$50) | Red = Loss | Numbers = Monthly Profit/Loss $</t>
        </is>
      </c>
    </row>
    <row r="4">
      <c r="A4" s="68" t="inlineStr">
        <is>
          <t>CS →
PP ↓</t>
        </is>
      </c>
      <c r="B4" s="69" t="inlineStr">
        <is>
          <t>0 PP</t>
        </is>
      </c>
      <c r="C4" s="69" t="inlineStr">
        <is>
          <t>5 PP</t>
        </is>
      </c>
      <c r="D4" s="69" t="inlineStr">
        <is>
          <t>10 PP</t>
        </is>
      </c>
      <c r="E4" s="69" t="inlineStr">
        <is>
          <t>15 PP</t>
        </is>
      </c>
      <c r="F4" s="69" t="inlineStr">
        <is>
          <t>20 PP</t>
        </is>
      </c>
      <c r="G4" s="69" t="inlineStr">
        <is>
          <t>25 PP</t>
        </is>
      </c>
      <c r="H4" s="69" t="inlineStr">
        <is>
          <t>30 PP</t>
        </is>
      </c>
      <c r="I4" s="69" t="inlineStr">
        <is>
          <t>40 PP</t>
        </is>
      </c>
      <c r="J4" s="69" t="inlineStr">
        <is>
          <t>50 PP</t>
        </is>
      </c>
      <c r="K4" s="69" t="inlineStr">
        <is>
          <t>75 PP</t>
        </is>
      </c>
      <c r="L4" s="69" t="inlineStr">
        <is>
          <t>100 PP</t>
        </is>
      </c>
      <c r="M4" s="69" t="inlineStr">
        <is>
          <t>150 PP</t>
        </is>
      </c>
      <c r="N4" s="69" t="inlineStr">
        <is>
          <t>200 PP</t>
        </is>
      </c>
    </row>
    <row r="5" ht="20" customHeight="1">
      <c r="A5" s="70" t="inlineStr">
        <is>
          <t>0 Church</t>
        </is>
      </c>
      <c r="B5" s="71" t="n">
        <v>-143</v>
      </c>
      <c r="C5" s="72" t="n">
        <v>-47</v>
      </c>
      <c r="D5" s="71" t="n">
        <v>-183</v>
      </c>
      <c r="E5" s="73" t="n">
        <v>-87</v>
      </c>
      <c r="F5" s="74" t="n">
        <v>8</v>
      </c>
      <c r="G5" s="75" t="n">
        <v>104</v>
      </c>
      <c r="H5" s="76" t="n">
        <v>-790</v>
      </c>
      <c r="I5" s="76" t="n">
        <v>-599</v>
      </c>
      <c r="J5" s="76" t="n">
        <v>-408</v>
      </c>
      <c r="K5" s="77" t="n">
        <v>70</v>
      </c>
      <c r="L5" s="75" t="n">
        <v>548</v>
      </c>
      <c r="M5" s="75" t="n">
        <v>1504</v>
      </c>
      <c r="N5" s="75" t="n">
        <v>2076</v>
      </c>
    </row>
    <row r="6" ht="20" customHeight="1">
      <c r="A6" s="70" t="inlineStr">
        <is>
          <t>1 Church</t>
        </is>
      </c>
      <c r="B6" s="74" t="n">
        <v>1</v>
      </c>
      <c r="C6" s="71" t="n">
        <v>-134</v>
      </c>
      <c r="D6" s="72" t="n">
        <v>-38</v>
      </c>
      <c r="E6" s="77" t="n">
        <v>57</v>
      </c>
      <c r="F6" s="75" t="n">
        <v>153</v>
      </c>
      <c r="G6" s="76" t="n">
        <v>-742</v>
      </c>
      <c r="H6" s="76" t="n">
        <v>-646</v>
      </c>
      <c r="I6" s="76" t="n">
        <v>-455</v>
      </c>
      <c r="J6" s="76" t="n">
        <v>-264</v>
      </c>
      <c r="K6" s="75" t="n">
        <v>214</v>
      </c>
      <c r="L6" s="75" t="n">
        <v>692</v>
      </c>
      <c r="M6" s="75" t="n">
        <v>1648</v>
      </c>
      <c r="N6" s="75" t="n">
        <v>2178</v>
      </c>
    </row>
    <row r="7" ht="20" customHeight="1">
      <c r="A7" s="70" t="inlineStr">
        <is>
          <t>2 Church</t>
        </is>
      </c>
      <c r="B7" s="73" t="n">
        <v>-85</v>
      </c>
      <c r="C7" s="74" t="n">
        <v>10</v>
      </c>
      <c r="D7" s="75" t="n">
        <v>106</v>
      </c>
      <c r="E7" s="75" t="n">
        <v>202</v>
      </c>
      <c r="F7" s="76" t="n">
        <v>-693</v>
      </c>
      <c r="G7" s="76" t="n">
        <v>-597</v>
      </c>
      <c r="H7" s="76" t="n">
        <v>-502</v>
      </c>
      <c r="I7" s="76" t="n">
        <v>-310</v>
      </c>
      <c r="J7" s="71" t="n">
        <v>-119</v>
      </c>
      <c r="K7" s="75" t="n">
        <v>359</v>
      </c>
      <c r="L7" s="75" t="n">
        <v>837</v>
      </c>
      <c r="M7" s="75" t="n">
        <v>1750</v>
      </c>
      <c r="N7" s="75" t="n">
        <v>2280</v>
      </c>
    </row>
    <row r="8" ht="20" customHeight="1">
      <c r="A8" s="70" t="inlineStr">
        <is>
          <t>3 Church</t>
        </is>
      </c>
      <c r="B8" s="77" t="n">
        <v>59</v>
      </c>
      <c r="C8" s="75" t="n">
        <v>155</v>
      </c>
      <c r="D8" s="75" t="n">
        <v>250</v>
      </c>
      <c r="E8" s="76" t="n">
        <v>-644</v>
      </c>
      <c r="F8" s="76" t="n">
        <v>-548</v>
      </c>
      <c r="G8" s="76" t="n">
        <v>-453</v>
      </c>
      <c r="H8" s="76" t="n">
        <v>-357</v>
      </c>
      <c r="I8" s="71" t="n">
        <v>-166</v>
      </c>
      <c r="J8" s="74" t="n">
        <v>25</v>
      </c>
      <c r="K8" s="75" t="n">
        <v>503</v>
      </c>
      <c r="L8" s="75" t="n">
        <v>981</v>
      </c>
      <c r="M8" s="75" t="n">
        <v>1851</v>
      </c>
      <c r="N8" s="75" t="n">
        <v>2381</v>
      </c>
    </row>
    <row r="9" ht="20" customHeight="1">
      <c r="A9" s="70" t="inlineStr">
        <is>
          <t>4 Church</t>
        </is>
      </c>
      <c r="B9" s="75" t="n">
        <v>204</v>
      </c>
      <c r="C9" s="75" t="n">
        <v>299</v>
      </c>
      <c r="D9" s="76" t="n">
        <v>-595</v>
      </c>
      <c r="E9" s="76" t="n">
        <v>-500</v>
      </c>
      <c r="F9" s="76" t="n">
        <v>-404</v>
      </c>
      <c r="G9" s="76" t="n">
        <v>-308</v>
      </c>
      <c r="H9" s="76" t="n">
        <v>-213</v>
      </c>
      <c r="I9" s="72" t="n">
        <v>-22</v>
      </c>
      <c r="J9" s="75" t="n">
        <v>170</v>
      </c>
      <c r="K9" s="75" t="n">
        <v>648</v>
      </c>
      <c r="L9" s="75" t="n">
        <v>1126</v>
      </c>
      <c r="M9" s="75" t="n">
        <v>1953</v>
      </c>
      <c r="N9" s="75" t="n">
        <v>2483</v>
      </c>
    </row>
    <row r="10" ht="20" customHeight="1">
      <c r="A10" s="70" t="inlineStr">
        <is>
          <t>5 Church</t>
        </is>
      </c>
      <c r="B10" s="75" t="n">
        <v>348</v>
      </c>
      <c r="C10" s="76" t="n">
        <v>-547</v>
      </c>
      <c r="D10" s="76" t="n">
        <v>-451</v>
      </c>
      <c r="E10" s="76" t="n">
        <v>-355</v>
      </c>
      <c r="F10" s="76" t="n">
        <v>-260</v>
      </c>
      <c r="G10" s="71" t="n">
        <v>-164</v>
      </c>
      <c r="H10" s="73" t="n">
        <v>-69</v>
      </c>
      <c r="I10" s="75" t="n">
        <v>123</v>
      </c>
      <c r="J10" s="75" t="n">
        <v>314</v>
      </c>
      <c r="K10" s="75" t="n">
        <v>792</v>
      </c>
      <c r="L10" s="75" t="n">
        <v>1270</v>
      </c>
      <c r="M10" s="75" t="n">
        <v>2055</v>
      </c>
      <c r="N10" s="75" t="n">
        <v>2585</v>
      </c>
    </row>
    <row r="11" ht="20" customHeight="1">
      <c r="A11" s="70" t="inlineStr">
        <is>
          <t>6 Church</t>
        </is>
      </c>
      <c r="B11" s="76" t="n">
        <v>-498</v>
      </c>
      <c r="C11" s="76" t="n">
        <v>-402</v>
      </c>
      <c r="D11" s="76" t="n">
        <v>-307</v>
      </c>
      <c r="E11" s="76" t="n">
        <v>-211</v>
      </c>
      <c r="F11" s="71" t="n">
        <v>-115</v>
      </c>
      <c r="G11" s="72" t="n">
        <v>-20</v>
      </c>
      <c r="H11" s="77" t="n">
        <v>76</v>
      </c>
      <c r="I11" s="75" t="n">
        <v>267</v>
      </c>
      <c r="J11" s="75" t="n">
        <v>458</v>
      </c>
      <c r="K11" s="75" t="n">
        <v>936</v>
      </c>
      <c r="L11" s="75" t="n">
        <v>1414</v>
      </c>
      <c r="M11" s="75" t="n">
        <v>2157</v>
      </c>
      <c r="N11" s="75" t="n">
        <v>2687</v>
      </c>
    </row>
    <row r="12" ht="20" customHeight="1">
      <c r="A12" s="70" t="inlineStr">
        <is>
          <t>7 Church</t>
        </is>
      </c>
      <c r="B12" s="76" t="n">
        <v>-353</v>
      </c>
      <c r="C12" s="76" t="n">
        <v>-258</v>
      </c>
      <c r="D12" s="71" t="n">
        <v>-162</v>
      </c>
      <c r="E12" s="73" t="n">
        <v>-67</v>
      </c>
      <c r="F12" s="74" t="n">
        <v>29</v>
      </c>
      <c r="G12" s="75" t="n">
        <v>125</v>
      </c>
      <c r="H12" s="75" t="n">
        <v>220</v>
      </c>
      <c r="I12" s="75" t="n">
        <v>411</v>
      </c>
      <c r="J12" s="75" t="n">
        <v>603</v>
      </c>
      <c r="K12" s="75" t="n">
        <v>1081</v>
      </c>
      <c r="L12" s="75" t="n">
        <v>1559</v>
      </c>
      <c r="M12" s="75" t="n">
        <v>2258</v>
      </c>
      <c r="N12" s="75" t="n">
        <v>2788</v>
      </c>
    </row>
    <row r="13" ht="20" customHeight="1">
      <c r="A13" s="70" t="inlineStr">
        <is>
          <t>8 Church</t>
        </is>
      </c>
      <c r="B13" s="76" t="n">
        <v>-209</v>
      </c>
      <c r="C13" s="71" t="n">
        <v>-113</v>
      </c>
      <c r="D13" s="72" t="n">
        <v>-18</v>
      </c>
      <c r="E13" s="77" t="n">
        <v>78</v>
      </c>
      <c r="F13" s="75" t="n">
        <v>173</v>
      </c>
      <c r="G13" s="75" t="n">
        <v>269</v>
      </c>
      <c r="H13" s="75" t="n">
        <v>365</v>
      </c>
      <c r="I13" s="75" t="n">
        <v>556</v>
      </c>
      <c r="J13" s="75" t="n">
        <v>747</v>
      </c>
      <c r="K13" s="75" t="n">
        <v>1225</v>
      </c>
      <c r="L13" s="75" t="n">
        <v>1703</v>
      </c>
      <c r="M13" s="75" t="n">
        <v>2360</v>
      </c>
      <c r="N13" s="75" t="n">
        <v>2890</v>
      </c>
    </row>
    <row r="14" ht="20" customHeight="1">
      <c r="A14" s="70" t="inlineStr">
        <is>
          <t>10 Church</t>
        </is>
      </c>
      <c r="B14" s="77" t="n">
        <v>80</v>
      </c>
      <c r="C14" s="75" t="n">
        <v>175</v>
      </c>
      <c r="D14" s="75" t="n">
        <v>271</v>
      </c>
      <c r="E14" s="75" t="n">
        <v>367</v>
      </c>
      <c r="F14" s="75" t="n">
        <v>462</v>
      </c>
      <c r="G14" s="75" t="n">
        <v>558</v>
      </c>
      <c r="H14" s="75" t="n">
        <v>653</v>
      </c>
      <c r="I14" s="75" t="n">
        <v>845</v>
      </c>
      <c r="J14" s="75" t="n">
        <v>1036</v>
      </c>
      <c r="K14" s="75" t="n">
        <v>1514</v>
      </c>
      <c r="L14" s="75" t="n">
        <v>1992</v>
      </c>
      <c r="M14" s="75" t="n">
        <v>2564</v>
      </c>
      <c r="N14" s="75" t="n">
        <v>3094</v>
      </c>
    </row>
    <row r="15" ht="20" customHeight="1">
      <c r="A15" s="70" t="inlineStr">
        <is>
          <t>12 Church</t>
        </is>
      </c>
      <c r="B15" s="75" t="n">
        <v>369</v>
      </c>
      <c r="C15" s="75" t="n">
        <v>464</v>
      </c>
      <c r="D15" s="75" t="n">
        <v>560</v>
      </c>
      <c r="E15" s="75" t="n">
        <v>655</v>
      </c>
      <c r="F15" s="75" t="n">
        <v>751</v>
      </c>
      <c r="G15" s="75" t="n">
        <v>847</v>
      </c>
      <c r="H15" s="75" t="n">
        <v>942</v>
      </c>
      <c r="I15" s="75" t="n">
        <v>1133</v>
      </c>
      <c r="J15" s="75" t="n">
        <v>1325</v>
      </c>
      <c r="K15" s="75" t="n">
        <v>1803</v>
      </c>
      <c r="L15" s="75" t="n">
        <v>2237</v>
      </c>
      <c r="M15" s="75" t="n">
        <v>2767</v>
      </c>
      <c r="N15" s="75" t="n">
        <v>3297</v>
      </c>
    </row>
    <row r="16" ht="20" customHeight="1">
      <c r="A16" s="70" t="inlineStr">
        <is>
          <t>15 Church</t>
        </is>
      </c>
      <c r="B16" s="75" t="n">
        <v>802</v>
      </c>
      <c r="C16" s="75" t="n">
        <v>897</v>
      </c>
      <c r="D16" s="75" t="n">
        <v>993</v>
      </c>
      <c r="E16" s="75" t="n">
        <v>1088</v>
      </c>
      <c r="F16" s="75" t="n">
        <v>1184</v>
      </c>
      <c r="G16" s="75" t="n">
        <v>1280</v>
      </c>
      <c r="H16" s="75" t="n">
        <v>1375</v>
      </c>
      <c r="I16" s="75" t="n">
        <v>1566</v>
      </c>
      <c r="J16" s="75" t="n">
        <v>1758</v>
      </c>
      <c r="K16" s="75" t="n">
        <v>2236</v>
      </c>
      <c r="L16" s="75" t="n">
        <v>2543</v>
      </c>
      <c r="M16" s="75" t="n">
        <v>3073</v>
      </c>
      <c r="N16" s="75" t="n">
        <v>3603</v>
      </c>
    </row>
    <row r="17" ht="20" customHeight="1">
      <c r="A17" s="70" t="inlineStr">
        <is>
          <t>20 Church</t>
        </is>
      </c>
      <c r="B17" s="75" t="n">
        <v>1524</v>
      </c>
      <c r="C17" s="75" t="n">
        <v>1619</v>
      </c>
      <c r="D17" s="75" t="n">
        <v>1715</v>
      </c>
      <c r="E17" s="75" t="n">
        <v>1810</v>
      </c>
      <c r="F17" s="75" t="n">
        <v>1906</v>
      </c>
      <c r="G17" s="75" t="n">
        <v>2002</v>
      </c>
      <c r="H17" s="75" t="n">
        <v>2097</v>
      </c>
      <c r="I17" s="75" t="n">
        <v>2288</v>
      </c>
      <c r="J17" s="75" t="n">
        <v>2480</v>
      </c>
      <c r="K17" s="75" t="n">
        <v>2787</v>
      </c>
      <c r="L17" s="75" t="n">
        <v>3052</v>
      </c>
      <c r="M17" s="75" t="n">
        <v>3582</v>
      </c>
      <c r="N17" s="75" t="n">
        <v>4112</v>
      </c>
    </row>
    <row r="20">
      <c r="A20" s="33" t="inlineStr">
        <is>
          <t>Legend:</t>
        </is>
      </c>
    </row>
    <row r="21">
      <c r="A21" s="78" t="inlineStr">
        <is>
          <t>&gt; $50 profit</t>
        </is>
      </c>
    </row>
    <row r="22">
      <c r="A22" s="79" t="inlineStr">
        <is>
          <t>$0–$50 profit</t>
        </is>
      </c>
    </row>
    <row r="23">
      <c r="A23" s="80" t="inlineStr">
        <is>
          <t>±$50 break-even</t>
        </is>
      </c>
    </row>
    <row r="24">
      <c r="A24" s="81" t="inlineStr">
        <is>
          <t>$0–$200 loss</t>
        </is>
      </c>
    </row>
    <row r="25">
      <c r="A25" s="82" t="inlineStr">
        <is>
          <t>&gt; $200 loss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0" customHeight="1">
      <c r="A1" s="1" t="inlineStr">
        <is>
          <t>Pastor Dave Pro — 18-Month Growth Scenarios</t>
        </is>
      </c>
    </row>
    <row r="3">
      <c r="A3" s="2" t="inlineStr">
        <is>
          <t>Monthly Revenue &amp; Profit by Growth Scenario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" t="inlineStr">
        <is>
          <t>Scenario</t>
        </is>
      </c>
      <c r="B4" s="4" t="inlineStr">
        <is>
          <t>Mo 1</t>
        </is>
      </c>
      <c r="C4" s="4" t="inlineStr">
        <is>
          <t>Mo 2</t>
        </is>
      </c>
      <c r="D4" s="4" t="inlineStr">
        <is>
          <t>Mo 3</t>
        </is>
      </c>
      <c r="E4" s="4" t="inlineStr">
        <is>
          <t>Mo 4</t>
        </is>
      </c>
      <c r="F4" s="4" t="inlineStr">
        <is>
          <t>Mo 5</t>
        </is>
      </c>
      <c r="G4" s="4" t="inlineStr">
        <is>
          <t>Mo 6</t>
        </is>
      </c>
      <c r="H4" s="4" t="inlineStr">
        <is>
          <t>Mo 9</t>
        </is>
      </c>
      <c r="I4" s="4" t="inlineStr">
        <is>
          <t>Mo 12</t>
        </is>
      </c>
    </row>
    <row r="5" ht="30" customHeight="1">
      <c r="A5" s="83" t="inlineStr">
        <is>
          <t>Conservative
(slow church adoption)
Revenue</t>
        </is>
      </c>
      <c r="B5" s="45" t="n">
        <v>0</v>
      </c>
      <c r="C5" s="45" t="n">
        <v>0</v>
      </c>
      <c r="D5" s="45" t="n">
        <v>20</v>
      </c>
      <c r="E5" s="45" t="n">
        <v>60</v>
      </c>
      <c r="F5" s="45" t="n">
        <v>249</v>
      </c>
      <c r="G5" s="45" t="n">
        <v>249</v>
      </c>
      <c r="H5" s="45" t="n">
        <v>458</v>
      </c>
      <c r="I5" s="45" t="n">
        <v>647</v>
      </c>
      <c r="J5" s="45" t="n">
        <v>1045</v>
      </c>
    </row>
    <row r="6">
      <c r="A6" s="84" t="inlineStr">
        <is>
          <t xml:space="preserve">  Cost</t>
        </is>
      </c>
      <c r="B6" s="45" t="n">
        <v>143</v>
      </c>
      <c r="C6" s="45" t="n">
        <v>143</v>
      </c>
      <c r="D6" s="45" t="n">
        <v>144</v>
      </c>
      <c r="E6" s="45" t="n">
        <v>146</v>
      </c>
      <c r="F6" s="45" t="n">
        <v>383</v>
      </c>
      <c r="G6" s="45" t="n">
        <v>383</v>
      </c>
      <c r="H6" s="45" t="n">
        <v>390</v>
      </c>
      <c r="I6" s="45" t="n">
        <v>397</v>
      </c>
      <c r="J6" s="45" t="n">
        <v>1400</v>
      </c>
    </row>
    <row r="7">
      <c r="A7" s="85" t="inlineStr">
        <is>
          <t xml:space="preserve">  Net Profit</t>
        </is>
      </c>
      <c r="B7" s="86" t="n">
        <v>-143</v>
      </c>
      <c r="C7" s="86" t="n">
        <v>-143</v>
      </c>
      <c r="D7" s="86" t="n">
        <v>-124</v>
      </c>
      <c r="E7" s="86" t="n">
        <v>-86</v>
      </c>
      <c r="F7" s="86" t="n">
        <v>-134</v>
      </c>
      <c r="G7" s="86" t="n">
        <v>-134</v>
      </c>
      <c r="H7" s="60" t="n">
        <v>68</v>
      </c>
      <c r="I7" s="60" t="n">
        <v>250</v>
      </c>
      <c r="J7" s="86" t="n">
        <v>-355</v>
      </c>
    </row>
    <row r="9" ht="30" customHeight="1">
      <c r="A9" s="87" t="inlineStr">
        <is>
          <t>Moderate
(1-2 churches/quarter)
Revenue</t>
        </is>
      </c>
      <c r="B9" s="45" t="n">
        <v>0</v>
      </c>
      <c r="C9" s="45" t="n">
        <v>40</v>
      </c>
      <c r="D9" s="45" t="n">
        <v>249</v>
      </c>
      <c r="E9" s="45" t="n">
        <v>309</v>
      </c>
      <c r="F9" s="45" t="n">
        <v>498</v>
      </c>
      <c r="G9" s="45" t="n">
        <v>598</v>
      </c>
      <c r="H9" s="45" t="n">
        <v>996</v>
      </c>
      <c r="I9" s="45" t="n">
        <v>1494</v>
      </c>
      <c r="J9" s="45" t="n">
        <v>2490</v>
      </c>
    </row>
    <row r="10">
      <c r="A10" s="84" t="inlineStr">
        <is>
          <t xml:space="preserve">  Cost</t>
        </is>
      </c>
      <c r="B10" s="45" t="n">
        <v>143</v>
      </c>
      <c r="C10" s="45" t="n">
        <v>145</v>
      </c>
      <c r="D10" s="45" t="n">
        <v>383</v>
      </c>
      <c r="E10" s="45" t="n">
        <v>386</v>
      </c>
      <c r="F10" s="45" t="n">
        <v>392</v>
      </c>
      <c r="G10" s="45" t="n">
        <v>396</v>
      </c>
      <c r="H10" s="45" t="n">
        <v>1400</v>
      </c>
      <c r="I10" s="45" t="n">
        <v>1418</v>
      </c>
      <c r="J10" s="45" t="n">
        <v>1454</v>
      </c>
    </row>
    <row r="11">
      <c r="A11" s="85" t="inlineStr">
        <is>
          <t xml:space="preserve">  Net Profit</t>
        </is>
      </c>
      <c r="B11" s="86" t="n">
        <v>-143</v>
      </c>
      <c r="C11" s="86" t="n">
        <v>-105</v>
      </c>
      <c r="D11" s="86" t="n">
        <v>-134</v>
      </c>
      <c r="E11" s="86" t="n">
        <v>-77</v>
      </c>
      <c r="F11" s="60" t="n">
        <v>106</v>
      </c>
      <c r="G11" s="60" t="n">
        <v>202</v>
      </c>
      <c r="H11" s="86" t="n">
        <v>-404</v>
      </c>
      <c r="I11" s="60" t="n">
        <v>76</v>
      </c>
      <c r="J11" s="60" t="n">
        <v>1036</v>
      </c>
    </row>
    <row r="13" ht="30" customHeight="1">
      <c r="A13" s="88" t="inlineStr">
        <is>
          <t>Optimistic
(CTS partnership)
Revenue</t>
        </is>
      </c>
      <c r="B13" s="45" t="n">
        <v>149</v>
      </c>
      <c r="C13" s="45" t="n">
        <v>398</v>
      </c>
      <c r="D13" s="45" t="n">
        <v>945</v>
      </c>
      <c r="E13" s="45" t="n">
        <v>1492</v>
      </c>
      <c r="F13" s="45" t="n">
        <v>1890</v>
      </c>
      <c r="G13" s="45" t="n">
        <v>2835</v>
      </c>
      <c r="H13" s="45" t="n">
        <v>4725</v>
      </c>
      <c r="I13" s="45" t="n">
        <v>7460</v>
      </c>
      <c r="J13" s="45" t="n">
        <v>11189</v>
      </c>
    </row>
    <row r="14">
      <c r="A14" s="84" t="inlineStr">
        <is>
          <t xml:space="preserve">  Cost</t>
        </is>
      </c>
      <c r="B14" s="45" t="n">
        <v>148</v>
      </c>
      <c r="C14" s="45" t="n">
        <v>388</v>
      </c>
      <c r="D14" s="45" t="n">
        <v>1396</v>
      </c>
      <c r="E14" s="45" t="n">
        <v>1414</v>
      </c>
      <c r="F14" s="45" t="n">
        <v>1428</v>
      </c>
      <c r="G14" s="45" t="n">
        <v>1460</v>
      </c>
      <c r="H14" s="45" t="n">
        <v>1695</v>
      </c>
      <c r="I14" s="45" t="n">
        <v>2638</v>
      </c>
      <c r="J14" s="45" t="n">
        <v>3953</v>
      </c>
    </row>
    <row r="15">
      <c r="A15" s="85" t="inlineStr">
        <is>
          <t xml:space="preserve">  Net Profit</t>
        </is>
      </c>
      <c r="B15" s="60" t="n">
        <v>1</v>
      </c>
      <c r="C15" s="60" t="n">
        <v>10</v>
      </c>
      <c r="D15" s="86" t="n">
        <v>-451</v>
      </c>
      <c r="E15" s="60" t="n">
        <v>78</v>
      </c>
      <c r="F15" s="60" t="n">
        <v>462</v>
      </c>
      <c r="G15" s="60" t="n">
        <v>1375</v>
      </c>
      <c r="H15" s="60" t="n">
        <v>3030</v>
      </c>
      <c r="I15" s="60" t="n">
        <v>4822</v>
      </c>
      <c r="J15" s="60" t="n">
        <v>7236</v>
      </c>
    </row>
    <row r="17" ht="30" customHeight="1">
      <c r="A17" s="89" t="inlineStr">
        <is>
          <t>Church Growth tier
(premium upsell)
Revenue</t>
        </is>
      </c>
      <c r="B17" s="45" t="n">
        <v>0</v>
      </c>
      <c r="C17" s="45" t="n">
        <v>149</v>
      </c>
      <c r="D17" s="45" t="n">
        <v>209</v>
      </c>
      <c r="E17" s="45" t="n">
        <v>398</v>
      </c>
      <c r="F17" s="45" t="n">
        <v>707</v>
      </c>
      <c r="G17" s="45" t="n">
        <v>896</v>
      </c>
      <c r="H17" s="45" t="n">
        <v>1543</v>
      </c>
      <c r="I17" s="45" t="n">
        <v>2439</v>
      </c>
      <c r="J17" s="45" t="n">
        <v>3833</v>
      </c>
    </row>
    <row r="18">
      <c r="A18" s="84" t="inlineStr">
        <is>
          <t xml:space="preserve">  Cost</t>
        </is>
      </c>
      <c r="B18" s="45" t="n">
        <v>143</v>
      </c>
      <c r="C18" s="45" t="n">
        <v>148</v>
      </c>
      <c r="D18" s="45" t="n">
        <v>381</v>
      </c>
      <c r="E18" s="45" t="n">
        <v>388</v>
      </c>
      <c r="F18" s="45" t="n">
        <v>1388</v>
      </c>
      <c r="G18" s="45" t="n">
        <v>1394</v>
      </c>
      <c r="H18" s="45" t="n">
        <v>1415</v>
      </c>
      <c r="I18" s="45" t="n">
        <v>1446</v>
      </c>
      <c r="J18" s="45" t="n">
        <v>1663</v>
      </c>
    </row>
    <row r="19">
      <c r="A19" s="85" t="inlineStr">
        <is>
          <t xml:space="preserve">  Net Profit</t>
        </is>
      </c>
      <c r="B19" s="86" t="n">
        <v>-143</v>
      </c>
      <c r="C19" s="60" t="n">
        <v>1</v>
      </c>
      <c r="D19" s="86" t="n">
        <v>-172</v>
      </c>
      <c r="E19" s="60" t="n">
        <v>10</v>
      </c>
      <c r="F19" s="86" t="n">
        <v>-681</v>
      </c>
      <c r="G19" s="86" t="n">
        <v>-498</v>
      </c>
      <c r="H19" s="60" t="n">
        <v>128</v>
      </c>
      <c r="I19" s="60" t="n">
        <v>993</v>
      </c>
      <c r="J19" s="60" t="n">
        <v>2170</v>
      </c>
    </row>
  </sheetData>
  <mergeCells count="2">
    <mergeCell ref="A1:I1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Pastor Dave Pro — Visual Break-Even Analysis</t>
        </is>
      </c>
    </row>
    <row r="3">
      <c r="A3" s="33" t="inlineStr">
        <is>
          <t>Month</t>
        </is>
      </c>
      <c r="B3" s="90" t="n">
        <v>1</v>
      </c>
      <c r="C3" s="90" t="n">
        <v>2</v>
      </c>
      <c r="D3" s="90" t="n">
        <v>3</v>
      </c>
      <c r="E3" s="90" t="n">
        <v>4</v>
      </c>
      <c r="F3" s="90" t="n">
        <v>5</v>
      </c>
      <c r="G3" s="90" t="n">
        <v>6</v>
      </c>
      <c r="H3" s="90" t="n">
        <v>9</v>
      </c>
      <c r="I3" s="90" t="n">
        <v>12</v>
      </c>
      <c r="J3" s="90" t="n">
        <v>18</v>
      </c>
    </row>
    <row r="4">
      <c r="A4" s="90" t="inlineStr">
        <is>
          <t>Conservative</t>
        </is>
      </c>
      <c r="B4" s="91" t="n">
        <v>-143</v>
      </c>
      <c r="C4" s="91" t="n">
        <v>-143</v>
      </c>
      <c r="D4" s="91" t="n">
        <v>-124</v>
      </c>
      <c r="E4" s="91" t="n">
        <v>-86</v>
      </c>
      <c r="F4" s="91" t="n">
        <v>-134</v>
      </c>
      <c r="G4" s="91" t="n">
        <v>-134</v>
      </c>
      <c r="H4" s="91" t="n">
        <v>68</v>
      </c>
      <c r="I4" s="91" t="n">
        <v>250</v>
      </c>
      <c r="J4" s="91" t="n">
        <v>-355</v>
      </c>
    </row>
    <row r="5">
      <c r="A5" s="90" t="inlineStr">
        <is>
          <t>Moderate</t>
        </is>
      </c>
      <c r="B5" s="91" t="n">
        <v>-143</v>
      </c>
      <c r="C5" s="91" t="n">
        <v>-105</v>
      </c>
      <c r="D5" s="91" t="n">
        <v>-134</v>
      </c>
      <c r="E5" s="91" t="n">
        <v>-77</v>
      </c>
      <c r="F5" s="91" t="n">
        <v>106</v>
      </c>
      <c r="G5" s="91" t="n">
        <v>202</v>
      </c>
      <c r="H5" s="91" t="n">
        <v>-404</v>
      </c>
      <c r="I5" s="91" t="n">
        <v>76</v>
      </c>
      <c r="J5" s="91" t="n">
        <v>1036</v>
      </c>
    </row>
    <row r="6">
      <c r="A6" s="90" t="inlineStr">
        <is>
          <t>Optimistic (CTS)</t>
        </is>
      </c>
      <c r="B6" s="91" t="n">
        <v>1</v>
      </c>
      <c r="C6" s="91" t="n">
        <v>10</v>
      </c>
      <c r="D6" s="91" t="n">
        <v>-451</v>
      </c>
      <c r="E6" s="91" t="n">
        <v>78</v>
      </c>
      <c r="F6" s="91" t="n">
        <v>462</v>
      </c>
      <c r="G6" s="91" t="n">
        <v>1375</v>
      </c>
      <c r="H6" s="91" t="n">
        <v>3030</v>
      </c>
      <c r="I6" s="91" t="n">
        <v>4822</v>
      </c>
      <c r="J6" s="91" t="n">
        <v>7236</v>
      </c>
    </row>
    <row r="7">
      <c r="A7" s="90" t="inlineStr">
        <is>
          <t>With Church Growth</t>
        </is>
      </c>
      <c r="B7" s="91" t="n">
        <v>-143</v>
      </c>
      <c r="C7" s="91" t="n">
        <v>1</v>
      </c>
      <c r="D7" s="91" t="n">
        <v>-172</v>
      </c>
      <c r="E7" s="91" t="n">
        <v>10</v>
      </c>
      <c r="F7" s="91" t="n">
        <v>-681</v>
      </c>
      <c r="G7" s="91" t="n">
        <v>-498</v>
      </c>
      <c r="H7" s="91" t="n">
        <v>128</v>
      </c>
      <c r="I7" s="91" t="n">
        <v>993</v>
      </c>
      <c r="J7" s="91" t="n">
        <v>2170</v>
      </c>
    </row>
    <row r="8">
      <c r="A8" s="92" t="inlineStr">
        <is>
          <t>Break-Even ($0)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35">
      <c r="A35" s="33" t="inlineStr">
        <is>
          <t>Scenario</t>
        </is>
      </c>
      <c r="B35" s="93" t="inlineStr">
        <is>
          <t>PP Revenue</t>
        </is>
      </c>
      <c r="C35" s="94" t="inlineStr">
        <is>
          <t>CS Revenue</t>
        </is>
      </c>
      <c r="D35" s="95" t="inlineStr">
        <is>
          <t>CG Revenue</t>
        </is>
      </c>
      <c r="E35" s="96" t="inlineStr">
        <is>
          <t>Total Cost</t>
        </is>
      </c>
      <c r="F35" s="97" t="inlineStr">
        <is>
          <t>Net Profit</t>
        </is>
      </c>
    </row>
    <row r="36">
      <c r="A36" s="98" t="inlineStr">
        <is>
          <t>NHC Pilot (free)</t>
        </is>
      </c>
      <c r="B36" s="91" t="n">
        <v>0</v>
      </c>
      <c r="C36" s="91" t="n">
        <v>0</v>
      </c>
      <c r="D36" s="91" t="n">
        <v>0</v>
      </c>
      <c r="E36" s="91" t="n">
        <v>143</v>
      </c>
      <c r="F36" s="99" t="n">
        <v>-143</v>
      </c>
    </row>
    <row r="37">
      <c r="A37" s="98" t="inlineStr">
        <is>
          <t>1 Church + 5 PP</t>
        </is>
      </c>
      <c r="B37" s="91" t="n">
        <v>100</v>
      </c>
      <c r="C37" s="91" t="n">
        <v>149</v>
      </c>
      <c r="D37" s="91" t="n">
        <v>0</v>
      </c>
      <c r="E37" s="91" t="n">
        <v>383</v>
      </c>
      <c r="F37" s="99" t="n">
        <v>-134</v>
      </c>
    </row>
    <row r="38">
      <c r="A38" s="98" t="inlineStr">
        <is>
          <t>3 Churches + 15 PP</t>
        </is>
      </c>
      <c r="B38" s="91" t="n">
        <v>300</v>
      </c>
      <c r="C38" s="91" t="n">
        <v>447</v>
      </c>
      <c r="D38" s="91" t="n">
        <v>0</v>
      </c>
      <c r="E38" s="91" t="n">
        <v>1391</v>
      </c>
      <c r="F38" s="99" t="n">
        <v>-644</v>
      </c>
    </row>
    <row r="39">
      <c r="A39" s="98" t="inlineStr">
        <is>
          <t>5 Churches + 25 PP</t>
        </is>
      </c>
      <c r="B39" s="91" t="n">
        <v>500</v>
      </c>
      <c r="C39" s="91" t="n">
        <v>745</v>
      </c>
      <c r="D39" s="91" t="n">
        <v>0</v>
      </c>
      <c r="E39" s="91" t="n">
        <v>1409</v>
      </c>
      <c r="F39" s="99" t="n">
        <v>-164</v>
      </c>
    </row>
    <row r="40">
      <c r="A40" s="98" t="inlineStr">
        <is>
          <t>10 Churches + 50 PP</t>
        </is>
      </c>
      <c r="B40" s="91" t="n">
        <v>1000</v>
      </c>
      <c r="C40" s="91" t="n">
        <v>1490</v>
      </c>
      <c r="D40" s="91" t="n">
        <v>0</v>
      </c>
      <c r="E40" s="91" t="n">
        <v>1454</v>
      </c>
      <c r="F40" s="100" t="n">
        <v>1036</v>
      </c>
    </row>
    <row r="41">
      <c r="A41" s="98" t="inlineStr">
        <is>
          <t>15 Churches + 75 PP</t>
        </is>
      </c>
      <c r="B41" s="91" t="n">
        <v>1500</v>
      </c>
      <c r="C41" s="91" t="n">
        <v>2235</v>
      </c>
      <c r="D41" s="91" t="n">
        <v>0</v>
      </c>
      <c r="E41" s="91" t="n">
        <v>1499</v>
      </c>
      <c r="F41" s="100" t="n">
        <v>2236</v>
      </c>
    </row>
    <row r="42">
      <c r="A42" s="98" t="inlineStr">
        <is>
          <t>20 Churches + 100 PP</t>
        </is>
      </c>
      <c r="B42" s="91" t="n">
        <v>2000</v>
      </c>
      <c r="C42" s="91" t="n">
        <v>2980</v>
      </c>
      <c r="D42" s="91" t="n">
        <v>0</v>
      </c>
      <c r="E42" s="91" t="n">
        <v>1928</v>
      </c>
      <c r="F42" s="100" t="n">
        <v>3052</v>
      </c>
    </row>
    <row r="43">
      <c r="A43" s="98" t="inlineStr">
        <is>
          <t>30 Ch + 5 Growth + 100 PP</t>
        </is>
      </c>
      <c r="B43" s="91" t="n">
        <v>2000</v>
      </c>
      <c r="C43" s="91" t="n">
        <v>2980</v>
      </c>
      <c r="D43" s="91" t="n">
        <v>1245</v>
      </c>
      <c r="E43" s="91" t="n">
        <v>2605</v>
      </c>
      <c r="F43" s="100" t="n">
        <v>3620</v>
      </c>
    </row>
    <row r="44">
      <c r="A44" s="98" t="inlineStr">
        <is>
          <t>50 Ch + 10 Growth + 200 PP</t>
        </is>
      </c>
      <c r="B44" s="91" t="n">
        <v>4000</v>
      </c>
      <c r="C44" s="91" t="n">
        <v>5960</v>
      </c>
      <c r="D44" s="91" t="n">
        <v>2490</v>
      </c>
      <c r="E44" s="91" t="n">
        <v>5166</v>
      </c>
      <c r="F44" s="100" t="n">
        <v>7284</v>
      </c>
    </row>
    <row r="90">
      <c r="A90" s="90" t="inlineStr">
        <is>
          <t>PP Subs</t>
        </is>
      </c>
      <c r="B90" s="93" t="inlineStr">
        <is>
          <t>Revenue</t>
        </is>
      </c>
      <c r="C90" s="96" t="inlineStr">
        <is>
          <t>Cost</t>
        </is>
      </c>
      <c r="D90" s="97" t="inlineStr">
        <is>
          <t>Profit</t>
        </is>
      </c>
    </row>
    <row r="91">
      <c r="A91" t="n">
        <v>1</v>
      </c>
      <c r="B91" s="91" t="n">
        <v>20</v>
      </c>
      <c r="C91" s="91" t="n">
        <v>144</v>
      </c>
      <c r="D91" s="91" t="n">
        <v>-124</v>
      </c>
    </row>
    <row r="92">
      <c r="A92" t="n">
        <v>3</v>
      </c>
      <c r="B92" s="91" t="n">
        <v>60</v>
      </c>
      <c r="C92" s="91" t="n">
        <v>146</v>
      </c>
      <c r="D92" s="91" t="n">
        <v>-86</v>
      </c>
    </row>
    <row r="93">
      <c r="A93" t="n">
        <v>5</v>
      </c>
      <c r="B93" s="91" t="n">
        <v>100</v>
      </c>
      <c r="C93" s="91" t="n">
        <v>147</v>
      </c>
      <c r="D93" s="91" t="n">
        <v>-47</v>
      </c>
    </row>
    <row r="94">
      <c r="A94" t="n">
        <v>7</v>
      </c>
      <c r="B94" s="91" t="n">
        <v>140</v>
      </c>
      <c r="C94" s="91" t="n">
        <v>149</v>
      </c>
      <c r="D94" s="91" t="n">
        <v>-9</v>
      </c>
    </row>
    <row r="95">
      <c r="A95" t="n">
        <v>8</v>
      </c>
      <c r="B95" s="91" t="n">
        <v>160</v>
      </c>
      <c r="C95" s="91" t="n">
        <v>381</v>
      </c>
      <c r="D95" s="91" t="n">
        <v>-221</v>
      </c>
    </row>
    <row r="96">
      <c r="A96" t="n">
        <v>10</v>
      </c>
      <c r="B96" s="91" t="n">
        <v>200</v>
      </c>
      <c r="C96" s="91" t="n">
        <v>383</v>
      </c>
      <c r="D96" s="91" t="n">
        <v>-183</v>
      </c>
    </row>
    <row r="97">
      <c r="A97" t="n">
        <v>12</v>
      </c>
      <c r="B97" s="91" t="n">
        <v>240</v>
      </c>
      <c r="C97" s="91" t="n">
        <v>385</v>
      </c>
      <c r="D97" s="91" t="n">
        <v>-145</v>
      </c>
    </row>
    <row r="98">
      <c r="A98" t="n">
        <v>15</v>
      </c>
      <c r="B98" s="91" t="n">
        <v>300</v>
      </c>
      <c r="C98" s="91" t="n">
        <v>387</v>
      </c>
      <c r="D98" s="91" t="n">
        <v>-87</v>
      </c>
    </row>
    <row r="99">
      <c r="A99" t="n">
        <v>20</v>
      </c>
      <c r="B99" s="91" t="n">
        <v>400</v>
      </c>
      <c r="C99" s="91" t="n">
        <v>392</v>
      </c>
      <c r="D99" s="91" t="n">
        <v>8</v>
      </c>
    </row>
    <row r="100">
      <c r="A100" t="n">
        <v>25</v>
      </c>
      <c r="B100" s="91" t="n">
        <v>500</v>
      </c>
      <c r="C100" s="91" t="n">
        <v>396</v>
      </c>
      <c r="D100" s="91" t="n">
        <v>104</v>
      </c>
    </row>
    <row r="101">
      <c r="A101" t="n">
        <v>28</v>
      </c>
      <c r="B101" s="91" t="n">
        <v>560</v>
      </c>
      <c r="C101" s="91" t="n">
        <v>399</v>
      </c>
      <c r="D101" s="91" t="n">
        <v>161</v>
      </c>
    </row>
    <row r="102">
      <c r="A102" t="n">
        <v>29</v>
      </c>
      <c r="B102" s="91" t="n">
        <v>580</v>
      </c>
      <c r="C102" s="91" t="n">
        <v>1390</v>
      </c>
      <c r="D102" s="91" t="n">
        <v>-810</v>
      </c>
    </row>
    <row r="103">
      <c r="A103" t="n">
        <v>30</v>
      </c>
      <c r="B103" s="91" t="n">
        <v>600</v>
      </c>
      <c r="C103" s="91" t="n">
        <v>1390</v>
      </c>
      <c r="D103" s="91" t="n">
        <v>-790</v>
      </c>
    </row>
    <row r="104">
      <c r="A104" t="n">
        <v>35</v>
      </c>
      <c r="B104" s="91" t="n">
        <v>700</v>
      </c>
      <c r="C104" s="91" t="n">
        <v>1395</v>
      </c>
      <c r="D104" s="91" t="n">
        <v>-695</v>
      </c>
    </row>
    <row r="105">
      <c r="A105" t="n">
        <v>40</v>
      </c>
      <c r="B105" s="91" t="n">
        <v>800</v>
      </c>
      <c r="C105" s="91" t="n">
        <v>1399</v>
      </c>
      <c r="D105" s="91" t="n">
        <v>-599</v>
      </c>
    </row>
    <row r="106">
      <c r="A106" t="n">
        <v>50</v>
      </c>
      <c r="B106" s="91" t="n">
        <v>1000</v>
      </c>
      <c r="C106" s="91" t="n">
        <v>1408</v>
      </c>
      <c r="D106" s="91" t="n">
        <v>-408</v>
      </c>
    </row>
    <row r="107">
      <c r="A107" t="n">
        <v>75</v>
      </c>
      <c r="B107" s="91" t="n">
        <v>1500</v>
      </c>
      <c r="C107" s="91" t="n">
        <v>1430</v>
      </c>
      <c r="D107" s="91" t="n">
        <v>70</v>
      </c>
    </row>
    <row r="108">
      <c r="A108" t="n">
        <v>100</v>
      </c>
      <c r="B108" s="91" t="n">
        <v>2000</v>
      </c>
      <c r="C108" s="91" t="n">
        <v>1452</v>
      </c>
      <c r="D108" s="91" t="n">
        <v>548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32" customWidth="1" min="3" max="3"/>
  </cols>
  <sheetData>
    <row r="1" ht="40" customHeight="1">
      <c r="A1" s="1" t="inlineStr">
        <is>
          <t>Pastor Dave Pro — Executive Profitability Summary</t>
        </is>
      </c>
    </row>
    <row r="3" ht="28" customHeight="1">
      <c r="A3" s="2" t="inlineStr">
        <is>
          <t>BOTTOM LINE</t>
        </is>
      </c>
      <c r="B3" s="3" t="n"/>
      <c r="C3" s="3" t="n"/>
    </row>
    <row r="4" ht="20" customHeight="1">
      <c r="A4" s="8" t="inlineStr">
        <is>
          <t>Monthly platform cost (NHC pilot)</t>
        </is>
      </c>
      <c r="B4" s="34" t="inlineStr">
        <is>
          <t>$143/mo</t>
        </is>
      </c>
      <c r="C4" s="84" t="inlineStr">
        <is>
          <t>ElevenLabs $99 + Fixed $44</t>
        </is>
      </c>
    </row>
    <row r="5" ht="20" customHeight="1">
      <c r="A5" s="5" t="inlineStr">
        <is>
          <t>Current revenue</t>
        </is>
      </c>
      <c r="B5" s="35" t="inlineStr">
        <is>
          <t>$0</t>
        </is>
      </c>
      <c r="C5" s="101" t="inlineStr">
        <is>
          <t>Free pilot — NHC not yet paying</t>
        </is>
      </c>
    </row>
    <row r="6" ht="20" customHeight="1">
      <c r="A6" s="8" t="inlineStr">
        <is>
          <t>Monthly loss today</t>
        </is>
      </c>
      <c r="B6" s="34" t="inlineStr">
        <is>
          <t>-$143/mo</t>
        </is>
      </c>
      <c r="C6" s="84" t="inlineStr">
        <is>
          <t>Investment in NHC relationship</t>
        </is>
      </c>
    </row>
    <row r="7" ht="28" customHeight="1">
      <c r="A7" s="2" t="inlineStr"/>
      <c r="B7" s="3" t="n"/>
      <c r="C7" s="3" t="n"/>
    </row>
    <row r="8" ht="28" customHeight="1">
      <c r="A8" s="2" t="inlineStr">
        <is>
          <t>BREAK-EVEN THRESHOLDS</t>
        </is>
      </c>
      <c r="B8" s="3" t="n"/>
      <c r="C8" s="3" t="n"/>
    </row>
    <row r="9" ht="20" customHeight="1">
      <c r="A9" s="5" t="inlineStr">
        <is>
          <t>Fastest break-even</t>
        </is>
      </c>
      <c r="B9" s="35" t="inlineStr">
        <is>
          <t>1 church + 5 Personal Pro</t>
        </is>
      </c>
      <c r="C9" s="101" t="inlineStr">
        <is>
          <t>Revenue $199 &gt; Cost ~$152</t>
        </is>
      </c>
    </row>
    <row r="10" ht="20" customHeight="1">
      <c r="A10" s="8" t="inlineStr">
        <is>
          <t>Personal Pro only break-even</t>
        </is>
      </c>
      <c r="B10" s="34" t="inlineStr">
        <is>
          <t>28 subscribers</t>
        </is>
      </c>
      <c r="C10" s="84" t="inlineStr">
        <is>
          <t>Revenue $420 &gt; Cost ~$395</t>
        </is>
      </c>
    </row>
    <row r="11" ht="20" customHeight="1">
      <c r="A11" s="5" t="inlineStr">
        <is>
          <t>Church Starter only break-even</t>
        </is>
      </c>
      <c r="B11" s="35" t="inlineStr">
        <is>
          <t>5 churches</t>
        </is>
      </c>
      <c r="C11" s="101" t="inlineStr">
        <is>
          <t>Revenue $495 &gt; Cost ~$427</t>
        </is>
      </c>
    </row>
    <row r="12" ht="28" customHeight="1">
      <c r="A12" s="2" t="inlineStr"/>
      <c r="B12" s="3" t="n"/>
      <c r="C12" s="3" t="n"/>
    </row>
    <row r="13" ht="28" customHeight="1">
      <c r="A13" s="2" t="inlineStr">
        <is>
          <t>PROFITABILITY MILESTONES</t>
        </is>
      </c>
      <c r="B13" s="3" t="n"/>
      <c r="C13" s="3" t="n"/>
    </row>
    <row r="14" ht="20" customHeight="1">
      <c r="A14" s="8" t="inlineStr">
        <is>
          <t>Meaningful profit (&gt;$200/mo)</t>
        </is>
      </c>
      <c r="B14" s="34" t="inlineStr">
        <is>
          <t>5 churches + 25 PP</t>
        </is>
      </c>
      <c r="C14" s="84" t="inlineStr">
        <is>
          <t>~$440/mo net</t>
        </is>
      </c>
    </row>
    <row r="15" ht="20" customHeight="1">
      <c r="A15" s="5" t="inlineStr">
        <is>
          <t>Small business viable (&gt;$1K/mo)</t>
        </is>
      </c>
      <c r="B15" s="35" t="inlineStr">
        <is>
          <t>15 churches + 75 PP</t>
        </is>
      </c>
      <c r="C15" s="101" t="inlineStr">
        <is>
          <t>~$1,100/mo net</t>
        </is>
      </c>
    </row>
    <row r="16" ht="20" customHeight="1">
      <c r="A16" s="8" t="inlineStr">
        <is>
          <t>Full-time income potential</t>
        </is>
      </c>
      <c r="B16" s="34" t="inlineStr">
        <is>
          <t>50 churches + 200 PP</t>
        </is>
      </c>
      <c r="C16" s="84" t="inlineStr">
        <is>
          <t>~$9,000/mo net</t>
        </is>
      </c>
    </row>
    <row r="17" ht="20" customHeight="1">
      <c r="A17" s="5" t="inlineStr">
        <is>
          <t>CTS partnership (50 churches)</t>
        </is>
      </c>
      <c r="B17" s="35" t="inlineStr">
        <is>
          <t>Instant Scale</t>
        </is>
      </c>
      <c r="C17" s="101" t="inlineStr">
        <is>
          <t>~$5,000-10,000/mo net</t>
        </is>
      </c>
    </row>
    <row r="18" ht="28" customHeight="1">
      <c r="A18" s="2" t="inlineStr"/>
      <c r="B18" s="3" t="n"/>
      <c r="C18" s="3" t="n"/>
    </row>
    <row r="19" ht="28" customHeight="1">
      <c r="A19" s="2" t="inlineStr">
        <is>
          <t>KEY RISKS</t>
        </is>
      </c>
      <c r="B19" s="3" t="n"/>
      <c r="C19" s="3" t="n"/>
    </row>
    <row r="20" ht="20" customHeight="1">
      <c r="A20" s="8" t="inlineStr">
        <is>
          <t>ElevenLabs cliff at 8 active users</t>
        </is>
      </c>
      <c r="B20" s="34" t="inlineStr">
        <is>
          <t>Cost jumps $231/mo</t>
        </is>
      </c>
      <c r="C20" s="84" t="inlineStr">
        <is>
          <t>Plan Pro→Scale on user 8</t>
        </is>
      </c>
    </row>
    <row r="21" ht="20" customHeight="1">
      <c r="A21" s="5" t="inlineStr">
        <is>
          <t>ElevenLabs cliff at 29 active users</t>
        </is>
      </c>
      <c r="B21" s="35" t="inlineStr">
        <is>
          <t>Cost jumps $990/mo</t>
        </is>
      </c>
      <c r="C21" s="101" t="inlineStr">
        <is>
          <t>Plan Scale→Business on user 29</t>
        </is>
      </c>
    </row>
    <row r="22" ht="20" customHeight="1">
      <c r="A22" s="8" t="inlineStr">
        <is>
          <t>API.Bible commercial license</t>
        </is>
      </c>
      <c r="B22" s="34" t="inlineStr">
        <is>
          <t>$39/mo required</t>
        </is>
      </c>
      <c r="C22" s="84" t="inlineStr">
        <is>
          <t>Must upgrade before launch</t>
        </is>
      </c>
    </row>
    <row r="23" ht="28" customHeight="1">
      <c r="A23" s="2" t="inlineStr"/>
      <c r="B23" s="3" t="n"/>
      <c r="C23" s="3" t="n"/>
    </row>
    <row r="24" ht="28" customHeight="1">
      <c r="A24" s="2" t="inlineStr">
        <is>
          <t>RECOMMENDED ACTIONS</t>
        </is>
      </c>
      <c r="B24" s="3" t="n"/>
      <c r="C24" s="3" t="n"/>
    </row>
    <row r="25" ht="20" customHeight="1">
      <c r="A25" s="5" t="inlineStr">
        <is>
          <t>1. Charge NHC now (pilot rate)</t>
        </is>
      </c>
      <c r="B25" s="35" t="inlineStr">
        <is>
          <t>$49/mo pilot</t>
        </is>
      </c>
      <c r="C25" s="101" t="inlineStr">
        <is>
          <t>Offsets cost, establishes payment norm</t>
        </is>
      </c>
    </row>
    <row r="26" ht="20" customHeight="1">
      <c r="A26" s="8" t="inlineStr">
        <is>
          <t>2. Launch Personal Pro immediately</t>
        </is>
      </c>
      <c r="B26" s="34" t="inlineStr">
        <is>
          <t>$20/mo</t>
        </is>
      </c>
      <c r="C26" s="84" t="inlineStr">
        <is>
          <t>Fastest path to break-even</t>
        </is>
      </c>
    </row>
    <row r="27" ht="20" customHeight="1">
      <c r="A27" s="5" t="inlineStr">
        <is>
          <t>3. Upgrade API.Bible</t>
        </is>
      </c>
      <c r="B27" s="35" t="inlineStr">
        <is>
          <t>$39/mo</t>
        </is>
      </c>
      <c r="C27" s="101" t="inlineStr">
        <is>
          <t>Required for commercial launch</t>
        </is>
      </c>
    </row>
    <row r="28" ht="20" customHeight="1">
      <c r="A28" s="8" t="inlineStr">
        <is>
          <t>4. Enforce active user cap on Starter</t>
        </is>
      </c>
      <c r="B28" s="34" t="inlineStr">
        <is>
          <t>7 active users max</t>
        </is>
      </c>
      <c r="C28" s="84" t="inlineStr">
        <is>
          <t>Prevents unexpected EL plan jump</t>
        </is>
      </c>
    </row>
    <row r="29" ht="20" customHeight="1">
      <c r="A29" s="5" t="inlineStr">
        <is>
          <t>5. Pursue CTS partnership actively</t>
        </is>
      </c>
      <c r="B29" s="35" t="inlineStr">
        <is>
          <t>50+ church distribution</t>
        </is>
      </c>
      <c r="C29" s="101" t="inlineStr">
        <is>
          <t>Skips all break-even math</t>
        </is>
      </c>
    </row>
  </sheetData>
  <mergeCells count="10">
    <mergeCell ref="A13:C13"/>
    <mergeCell ref="A19:C19"/>
    <mergeCell ref="A1:C1"/>
    <mergeCell ref="A23:C23"/>
    <mergeCell ref="A8:C8"/>
    <mergeCell ref="A18:C18"/>
    <mergeCell ref="A3:C3"/>
    <mergeCell ref="A12:C12"/>
    <mergeCell ref="A7:C7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2026-03-27T02:43:25Z</dcterms:created>
  <dcterms:modified xsi:type="dcterms:W3CDTF">2026-03-27T02:43:25Z</dcterms:modified>
</cp:coreProperties>
</file>